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Ary\OneDrive - Instituto Politécnico de Bragança\IPB\POH\Projeto POH\Dimensionamento\"/>
    </mc:Choice>
  </mc:AlternateContent>
  <xr:revisionPtr revIDLastSave="1725" documentId="6_{997BFF34-80AF-4382-BD09-56994EA6714D}" xr6:coauthVersionLast="45" xr6:coauthVersionMax="45" xr10:uidLastSave="{7173F776-FFEE-4222-BED6-CC10D5C77615}"/>
  <bookViews>
    <workbookView xWindow="-108" yWindow="-108" windowWidth="23256" windowHeight="12576" tabRatio="484" activeTab="1" xr2:uid="{00000000-000D-0000-FFFF-FFFF00000000}"/>
  </bookViews>
  <sheets>
    <sheet name="Parametros" sheetId="8" r:id="rId1"/>
    <sheet name="Calculos" sheetId="4" r:id="rId2"/>
    <sheet name="Pluvial" sheetId="10" r:id="rId3"/>
    <sheet name="CV_dados" sheetId="7" r:id="rId4"/>
    <sheet name="Pipe_dados" sheetId="6" r:id="rId5"/>
    <sheet name="Planilha1" sheetId="9" r:id="rId6"/>
    <sheet name="_xlwings.conf" sheetId="2" r:id="rId7"/>
  </sheets>
  <functionGroups builtInGroupCount="19">
    <functionGroup name="xlwings"/>
  </functionGroups>
  <definedNames>
    <definedName name="solver_adj" localSheetId="1" hidden="1">Calculos!$AB$32</definedName>
    <definedName name="solver_adj" localSheetId="2" hidden="1">Pluvial!$AB$32</definedName>
    <definedName name="solver_cvg" localSheetId="1" hidden="1">0.0001</definedName>
    <definedName name="solver_cvg" localSheetId="2" hidden="1">0.0001</definedName>
    <definedName name="solver_drv" localSheetId="1" hidden="1">2</definedName>
    <definedName name="solver_drv" localSheetId="2" hidden="1">2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Calculos!$AB$33</definedName>
    <definedName name="solver_lhs1" localSheetId="2" hidden="1">Pluvial!$AB$33</definedName>
    <definedName name="solver_lhs2" localSheetId="1" hidden="1">Calculos!$AB$33</definedName>
    <definedName name="solver_lhs2" localSheetId="2" hidden="1">Pluvial!$AB$33</definedName>
    <definedName name="solver_lhs3" localSheetId="1" hidden="1">Calculos!$AB$32</definedName>
    <definedName name="solver_lhs3" localSheetId="2" hidden="1">Pluvial!$AB$32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2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pt" localSheetId="1" hidden="1">Calculos!$AB$32</definedName>
    <definedName name="solver_opt" localSheetId="2" hidden="1">Pluvial!$AB$32</definedName>
    <definedName name="solver_pre" localSheetId="1" hidden="1">0.000001</definedName>
    <definedName name="solver_pre" localSheetId="2" hidden="1">0.000001</definedName>
    <definedName name="solver_rbv" localSheetId="1" hidden="1">2</definedName>
    <definedName name="solver_rbv" localSheetId="2" hidden="1">2</definedName>
    <definedName name="solver_rel1" localSheetId="1" hidden="1">1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el3" localSheetId="1" hidden="1">3</definedName>
    <definedName name="solver_rel3" localSheetId="2" hidden="1">3</definedName>
    <definedName name="solver_rhs1" localSheetId="1" hidden="1">2*PI()</definedName>
    <definedName name="solver_rhs1" localSheetId="2" hidden="1">2*PI()</definedName>
    <definedName name="solver_rhs2" localSheetId="1" hidden="1">0.01</definedName>
    <definedName name="solver_rhs2" localSheetId="2" hidden="1">0.01</definedName>
    <definedName name="solver_rhs3" localSheetId="1" hidden="1">0</definedName>
    <definedName name="solver_rhs3" localSheetId="2" hidden="1">0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idro_findTheta">
          <x14:argumentDescriptions count="5">
            <x14:argumentDescription index="0">Flow throuh the pipe [m³/s]</x14:argumentDescription>
            <x14:argumentDescription index="1">Pipe diameter [m]</x14:argumentDescription>
            <x14:argumentDescription index="2">Pipe slope [m/m]</x14:argumentDescription>
            <x14:argumentDescription index="3">Manning coefficient, default=110</x14:argumentDescription>
            <x14:argumentDescription index="4">First guess to start the root iteraction, default=0.2</x14:argumentDescription>
          </x14:argumentDescriptions>
        </x14:definedName>
        <x14:definedName name="hidro_minimumDiameter">
          <x14:argumentDescriptions count="5">
            <x14:argumentDescription index="0">Maximum flow at the end of the project horizon [m³/s]</x14:argumentDescription>
            <x14:argumentDescription index="1">Percentage of allowable area to flow, default 0.5</x14:argumentDescription>
            <x14:argumentDescription index="2">Maximum allowed slope of the pipe, default 15/100</x14:argumentDescription>
            <x14:argumentDescription index="3">Max allowable velocity of the flow</x14:argumentDescription>
            <x14:argumentDescription index="4">Manning coefficient, default=100</x14:argumentDescription>
          </x14:argumentDescriptions>
        </x14:definedName>
        <x14:definedName name="hidro_slopeMaxVELOCITY">
          <x14:argumentDescriptions count="4">
            <x14:argumentDescription index="0">Maximum flow at the end of the project horizon [m³/s]</x14:argumentDescription>
            <x14:argumentDescription index="1">Pipe Diameter [m]</x14:argumentDescription>
            <x14:argumentDescription index="2">Max allowable velocity of the flow</x14:argumentDescription>
            <x14:argumentDescription index="3">Manning coefficient, default=100</x14:argumentDescription>
          </x14:argumentDescriptions>
        </x14:definedName>
        <x14:definedName name="hidro_slopeMinH">
          <x14:argumentDescriptions count="4">
            <x14:argumentDescription index="0">Maximum flow at the end of the project horizon [m³/s]</x14:argumentDescription>
            <x14:argumentDescription index="1">Pipe diameter [m]</x14:argumentDescription>
            <x14:argumentDescription index="2">Percentage of allowable area to flow, default 0.5</x14:argumentDescription>
            <x14:argumentDescription index="3">Manning coefficient, default=110</x14:argumentDescription>
          </x14:argumentDescriptions>
        </x14:definedName>
        <x14:definedName name="hidro_slopeMinVELOCITY">
          <x14:argumentDescriptions count="4">
            <x14:argumentDescription index="0">Self Cleaning flow [m³/s]</x14:argumentDescription>
            <x14:argumentDescription index="1">Pipe Diameter [m]</x14:argumentDescription>
            <x14:argumentDescription index="2">Minimum allowable velocity of the flow</x14:argumentDescription>
            <x14:argumentDescription index="3">Manning coefficient, default=110</x14:argumentDescription>
          </x14:argumentDescriptions>
        </x14:definedName>
        <x14:definedName name="slopeMaxVELOCITY">
          <x14:argumentDescriptions count="4">
            <x14:argumentDescription index="0">Self Cleaning flow [m³/s]</x14:argumentDescription>
            <x14:argumentDescription index="1">Pipe Diameter [m]</x14:argumentDescription>
            <x14:argumentDescription index="2">Max allowable velocity of the flow</x14:argumentDescription>
            <x14:argumentDescription index="3">Manning coefficient, default=100</x14:argumentDescription>
          </x14:argumentDescriptions>
        </x14:definedName>
        <x14:definedName name="slopeMinH">
          <x14:argumentDescriptions count="4">
            <x14:argumentDescription index="0">[m³/s]</x14:argumentDescription>
            <x14:argumentDescription index="1">Pipe Diameter [m]</x14:argumentDescription>
            <x14:argumentDescription index="2">Percentage of allowable area to flow, default 0.5</x14:argumentDescription>
            <x14:argumentDescription index="3">Manning coefficient, default=100</x14:argumentDescription>
          </x14:argumentDescriptions>
        </x14:definedName>
        <x14:definedName name="slopeMinVELOCITY">
          <x14:argumentDescriptions count="4">
            <x14:argumentDescription index="0">Self Cleaning flow [m³/s]</x14:argumentDescription>
            <x14:argumentDescription index="1">Pipe Diameter [m]</x14:argumentDescription>
            <x14:argumentDescription index="2">Minimum allowable velocity of the flow</x14:argumentDescription>
            <x14:argumentDescription index="3">Manning coefficient, default=100</x14:argumentDescription>
          </x14:argumentDescriptions>
        </x14:definedName>
        <x14:definedName name="theta">
          <x14:argumentDescriptions count="5">
            <x14:argumentDescription index="0">Flow [m³/s]</x14:argumentDescription>
            <x14:argumentDescription index="1">Diameter in m</x14:argumentDescription>
            <x14:argumentDescription index="2">slope m/m</x14:argumentDescription>
            <x14:argumentDescription index="3">Manning coefficient, default=100</x14:argumentDescription>
            <x14:argumentDescription index="4">First guess to start the root iteraction, default=0.2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7" i="4" l="1"/>
  <c r="P7" i="4" a="1"/>
  <c r="P7" i="4" l="1"/>
  <c r="F39" i="10"/>
  <c r="I39" i="10" s="1"/>
  <c r="C39" i="10"/>
  <c r="E39" i="10" s="1"/>
  <c r="B39" i="10"/>
  <c r="D39" i="10" s="1"/>
  <c r="O39" i="10" s="1"/>
  <c r="M38" i="10"/>
  <c r="I38" i="10"/>
  <c r="F38" i="10"/>
  <c r="C38" i="10"/>
  <c r="E38" i="10" s="1"/>
  <c r="B38" i="10"/>
  <c r="D38" i="10" s="1"/>
  <c r="M37" i="10"/>
  <c r="I37" i="10"/>
  <c r="F37" i="10"/>
  <c r="D37" i="10"/>
  <c r="O37" i="10" s="1"/>
  <c r="C37" i="10"/>
  <c r="E37" i="10" s="1"/>
  <c r="B37" i="10"/>
  <c r="M36" i="10"/>
  <c r="F36" i="10"/>
  <c r="I36" i="10" s="1"/>
  <c r="E36" i="10"/>
  <c r="D36" i="10"/>
  <c r="O36" i="10" s="1"/>
  <c r="C36" i="10"/>
  <c r="B36" i="10"/>
  <c r="M35" i="10"/>
  <c r="F35" i="10"/>
  <c r="I35" i="10" s="1"/>
  <c r="E35" i="10"/>
  <c r="W35" i="10" s="1"/>
  <c r="V36" i="10" s="1"/>
  <c r="D35" i="10"/>
  <c r="O35" i="10" s="1"/>
  <c r="C35" i="10"/>
  <c r="B35" i="10"/>
  <c r="I33" i="10"/>
  <c r="F33" i="10"/>
  <c r="E33" i="10"/>
  <c r="C33" i="10"/>
  <c r="B33" i="10"/>
  <c r="D33" i="10" s="1"/>
  <c r="O33" i="10" s="1"/>
  <c r="M32" i="10"/>
  <c r="F32" i="10"/>
  <c r="I32" i="10" s="1"/>
  <c r="C32" i="10"/>
  <c r="E32" i="10" s="1"/>
  <c r="B32" i="10"/>
  <c r="D32" i="10" s="1"/>
  <c r="M31" i="10"/>
  <c r="F31" i="10"/>
  <c r="I31" i="10" s="1"/>
  <c r="E31" i="10"/>
  <c r="C31" i="10"/>
  <c r="B31" i="10"/>
  <c r="D31" i="10" s="1"/>
  <c r="F30" i="10"/>
  <c r="I30" i="10" s="1"/>
  <c r="E30" i="10"/>
  <c r="C30" i="10"/>
  <c r="B30" i="10"/>
  <c r="D30" i="10" s="1"/>
  <c r="O29" i="10"/>
  <c r="M29" i="10"/>
  <c r="F29" i="10"/>
  <c r="I29" i="10" s="1"/>
  <c r="D29" i="10"/>
  <c r="C29" i="10"/>
  <c r="E29" i="10" s="1"/>
  <c r="B29" i="10"/>
  <c r="M28" i="10"/>
  <c r="F28" i="10"/>
  <c r="I28" i="10" s="1"/>
  <c r="D28" i="10"/>
  <c r="C28" i="10"/>
  <c r="E28" i="10" s="1"/>
  <c r="B28" i="10"/>
  <c r="F27" i="10"/>
  <c r="I27" i="10" s="1"/>
  <c r="C27" i="10"/>
  <c r="E27" i="10" s="1"/>
  <c r="B27" i="10"/>
  <c r="D27" i="10" s="1"/>
  <c r="M26" i="10"/>
  <c r="F26" i="10"/>
  <c r="I26" i="10" s="1"/>
  <c r="D26" i="10"/>
  <c r="X26" i="10" s="1"/>
  <c r="C26" i="10"/>
  <c r="E26" i="10" s="1"/>
  <c r="O26" i="10" s="1"/>
  <c r="B26" i="10"/>
  <c r="X24" i="10"/>
  <c r="M24" i="10"/>
  <c r="F24" i="10"/>
  <c r="E24" i="10"/>
  <c r="C24" i="10"/>
  <c r="B24" i="10"/>
  <c r="D24" i="10" s="1"/>
  <c r="F23" i="10"/>
  <c r="I23" i="10" s="1"/>
  <c r="E23" i="10"/>
  <c r="C23" i="10"/>
  <c r="B23" i="10"/>
  <c r="D23" i="10" s="1"/>
  <c r="M22" i="10"/>
  <c r="F22" i="10"/>
  <c r="I22" i="10" s="1"/>
  <c r="D22" i="10"/>
  <c r="C22" i="10"/>
  <c r="E22" i="10" s="1"/>
  <c r="B22" i="10"/>
  <c r="W21" i="10"/>
  <c r="V22" i="10" s="1"/>
  <c r="M21" i="10"/>
  <c r="I21" i="10"/>
  <c r="F21" i="10"/>
  <c r="E21" i="10"/>
  <c r="C21" i="10"/>
  <c r="B21" i="10"/>
  <c r="D21" i="10" s="1"/>
  <c r="X21" i="10" s="1"/>
  <c r="F19" i="10"/>
  <c r="I19" i="10" s="1"/>
  <c r="E19" i="10"/>
  <c r="C19" i="10"/>
  <c r="B19" i="10"/>
  <c r="D19" i="10" s="1"/>
  <c r="M18" i="10"/>
  <c r="I18" i="10"/>
  <c r="F18" i="10"/>
  <c r="D18" i="10"/>
  <c r="C18" i="10"/>
  <c r="E18" i="10" s="1"/>
  <c r="B18" i="10"/>
  <c r="M17" i="10"/>
  <c r="F17" i="10"/>
  <c r="I17" i="10" s="1"/>
  <c r="E17" i="10"/>
  <c r="C17" i="10"/>
  <c r="B17" i="10"/>
  <c r="D17" i="10" s="1"/>
  <c r="F16" i="10"/>
  <c r="I16" i="10" s="1"/>
  <c r="E16" i="10"/>
  <c r="C16" i="10"/>
  <c r="B16" i="10"/>
  <c r="D16" i="10" s="1"/>
  <c r="M15" i="10"/>
  <c r="F15" i="10"/>
  <c r="I15" i="10" s="1"/>
  <c r="E15" i="10"/>
  <c r="D15" i="10"/>
  <c r="O15" i="10" s="1"/>
  <c r="C15" i="10"/>
  <c r="B15" i="10"/>
  <c r="M14" i="10"/>
  <c r="F14" i="10"/>
  <c r="I14" i="10" s="1"/>
  <c r="E14" i="10"/>
  <c r="D14" i="10"/>
  <c r="C14" i="10"/>
  <c r="B14" i="10"/>
  <c r="F13" i="10"/>
  <c r="I13" i="10" s="1"/>
  <c r="D13" i="10"/>
  <c r="C13" i="10"/>
  <c r="E13" i="10" s="1"/>
  <c r="B13" i="10"/>
  <c r="O12" i="10"/>
  <c r="M12" i="10"/>
  <c r="F12" i="10"/>
  <c r="I12" i="10" s="1"/>
  <c r="D12" i="10"/>
  <c r="C12" i="10"/>
  <c r="E12" i="10" s="1"/>
  <c r="B12" i="10"/>
  <c r="F11" i="10"/>
  <c r="I11" i="10" s="1"/>
  <c r="E11" i="10"/>
  <c r="D11" i="10"/>
  <c r="O11" i="10" s="1"/>
  <c r="C11" i="10"/>
  <c r="B11" i="10"/>
  <c r="O10" i="10"/>
  <c r="I10" i="10"/>
  <c r="F10" i="10"/>
  <c r="E10" i="10"/>
  <c r="D10" i="10"/>
  <c r="C10" i="10"/>
  <c r="B10" i="10"/>
  <c r="M9" i="10"/>
  <c r="I9" i="10"/>
  <c r="F9" i="10"/>
  <c r="E9" i="10"/>
  <c r="D9" i="10"/>
  <c r="O9" i="10" s="1"/>
  <c r="C9" i="10"/>
  <c r="B9" i="10"/>
  <c r="M8" i="10"/>
  <c r="I8" i="10"/>
  <c r="F8" i="10"/>
  <c r="E8" i="10"/>
  <c r="C8" i="10"/>
  <c r="B8" i="10"/>
  <c r="D8" i="10" s="1"/>
  <c r="I7" i="10"/>
  <c r="F7" i="10"/>
  <c r="E7" i="10"/>
  <c r="C7" i="10"/>
  <c r="B7" i="10"/>
  <c r="D7" i="10" s="1"/>
  <c r="AB18" i="10" a="1"/>
  <c r="P38" i="10" a="1"/>
  <c r="AB29" i="10" a="1"/>
  <c r="L36" i="10"/>
  <c r="Q39" i="10" a="1"/>
  <c r="Q32" i="10" a="1"/>
  <c r="Q23" i="10" a="1"/>
  <c r="Q13" i="10" a="1"/>
  <c r="L39" i="10"/>
  <c r="R32" i="10" a="1"/>
  <c r="Q16" i="10" a="1"/>
  <c r="L11" i="10"/>
  <c r="AA32" i="10" a="1"/>
  <c r="P13" i="10" a="1"/>
  <c r="R24" i="10" a="1"/>
  <c r="R37" i="10" a="1"/>
  <c r="AA23" i="10" a="1"/>
  <c r="L17" i="10"/>
  <c r="R12" i="10" a="1"/>
  <c r="L38" i="10"/>
  <c r="L27" i="10"/>
  <c r="AB8" i="10" a="1"/>
  <c r="R28" i="10" a="1"/>
  <c r="Q28" i="10" a="1"/>
  <c r="P33" i="10" a="1"/>
  <c r="Q9" i="10" a="1"/>
  <c r="R15" i="10" a="1"/>
  <c r="P22" i="10" a="1"/>
  <c r="P19" i="10" a="1"/>
  <c r="P37" i="10" a="1"/>
  <c r="AA10" i="10" a="1"/>
  <c r="R11" i="10" a="1"/>
  <c r="L16" i="10"/>
  <c r="L7" i="10"/>
  <c r="L18" i="10"/>
  <c r="AB38" i="10" a="1"/>
  <c r="R23" i="10" a="1"/>
  <c r="L8" i="10"/>
  <c r="P18" i="10" a="1"/>
  <c r="L12" i="10"/>
  <c r="R39" i="10" a="1"/>
  <c r="P16" i="10" a="1"/>
  <c r="Q29" i="10" a="1"/>
  <c r="Q33" i="10" a="1"/>
  <c r="R36" i="10" a="1"/>
  <c r="Q12" i="10" a="1"/>
  <c r="L35" i="10"/>
  <c r="R21" i="10" a="1"/>
  <c r="R27" i="10" a="1"/>
  <c r="P23" i="10" a="1"/>
  <c r="P24" i="10" a="1"/>
  <c r="R10" i="10" a="1"/>
  <c r="P17" i="10" a="1"/>
  <c r="Q7" i="10" a="1"/>
  <c r="P15" i="10" a="1"/>
  <c r="Q37" i="10" a="1"/>
  <c r="Q18" i="10" a="1"/>
  <c r="P29" i="10" a="1"/>
  <c r="Q26" i="10" a="1"/>
  <c r="AA39" i="10" a="1"/>
  <c r="Q8" i="10" a="1"/>
  <c r="AA12" i="10" a="1"/>
  <c r="AA16" i="10" a="1"/>
  <c r="R7" i="10" a="1"/>
  <c r="AB15" i="10" a="1"/>
  <c r="AB12" i="10" a="1"/>
  <c r="Q38" i="10" a="1"/>
  <c r="AA14" i="10" a="1"/>
  <c r="L10" i="10"/>
  <c r="Q19" i="10" a="1"/>
  <c r="Q31" i="10" a="1"/>
  <c r="P21" i="10" a="1"/>
  <c r="Q11" i="10" a="1"/>
  <c r="P8" i="10" a="1"/>
  <c r="AA27" i="10" a="1"/>
  <c r="L9" i="10"/>
  <c r="L24" i="10"/>
  <c r="Q14" i="10" a="1"/>
  <c r="R38" i="10" a="1"/>
  <c r="P31" i="10" a="1"/>
  <c r="P26" i="10" a="1"/>
  <c r="AB22" i="10" a="1"/>
  <c r="P27" i="10" a="1"/>
  <c r="L22" i="10"/>
  <c r="Q21" i="10" a="1"/>
  <c r="Q15" i="10" a="1"/>
  <c r="Q36" i="10" a="1"/>
  <c r="AB9" i="10" a="1"/>
  <c r="Q35" i="10" a="1"/>
  <c r="AA11" i="10" a="1"/>
  <c r="AB17" i="10" a="1"/>
  <c r="Q30" i="10" a="1"/>
  <c r="L33" i="10"/>
  <c r="L29" i="10"/>
  <c r="AA31" i="10" a="1"/>
  <c r="R16" i="10" a="1"/>
  <c r="AB28" i="10" a="1"/>
  <c r="Q22" i="10" a="1"/>
  <c r="P9" i="10" a="1"/>
  <c r="L23" i="10"/>
  <c r="L14" i="10"/>
  <c r="AB31" i="10" a="1"/>
  <c r="L31" i="10"/>
  <c r="L13" i="10"/>
  <c r="P39" i="10" a="1"/>
  <c r="AB21" i="10" a="1"/>
  <c r="L37" i="10"/>
  <c r="L26" i="10"/>
  <c r="Q7" i="4" a="1"/>
  <c r="R33" i="10" a="1"/>
  <c r="Q17" i="10" a="1"/>
  <c r="P35" i="10" a="1"/>
  <c r="R26" i="10" a="1"/>
  <c r="Q27" i="10" a="1"/>
  <c r="L21" i="10"/>
  <c r="L28" i="10"/>
  <c r="R8" i="10" a="1"/>
  <c r="R22" i="10" a="1"/>
  <c r="R18" i="10" a="1"/>
  <c r="P28" i="10" a="1"/>
  <c r="P36" i="10" a="1"/>
  <c r="R17" i="10" a="1"/>
  <c r="AB24" i="10" a="1"/>
  <c r="AA18" i="10" a="1"/>
  <c r="L19" i="10"/>
  <c r="AA35" i="10" a="1"/>
  <c r="AA38" i="10" a="1"/>
  <c r="P30" i="10" a="1"/>
  <c r="R30" i="10" a="1"/>
  <c r="AA13" i="10" a="1"/>
  <c r="AA29" i="10" a="1"/>
  <c r="AA15" i="10" a="1"/>
  <c r="R29" i="10" a="1"/>
  <c r="R35" i="10" a="1"/>
  <c r="R9" i="10" a="1"/>
  <c r="P32" i="10" a="1"/>
  <c r="P14" i="10" a="1"/>
  <c r="P10" i="10" a="1"/>
  <c r="L32" i="10"/>
  <c r="P12" i="10" a="1"/>
  <c r="AB26" i="10" a="1"/>
  <c r="Q24" i="10" a="1"/>
  <c r="R19" i="10" a="1"/>
  <c r="P7" i="10" a="1"/>
  <c r="R31" i="10" a="1"/>
  <c r="L15" i="10"/>
  <c r="R13" i="10" a="1"/>
  <c r="R14" i="10" a="1"/>
  <c r="P11" i="10" a="1"/>
  <c r="L30" i="10"/>
  <c r="AA30" i="10" a="1"/>
  <c r="AB32" i="10" a="1"/>
  <c r="Q10" i="10" a="1"/>
  <c r="Q7" i="4" l="1"/>
  <c r="P7" i="10"/>
  <c r="AB32" i="10"/>
  <c r="AA32" i="10"/>
  <c r="AC32" i="10" s="1"/>
  <c r="P14" i="10"/>
  <c r="P36" i="10"/>
  <c r="Q37" i="10"/>
  <c r="R38" i="10"/>
  <c r="Q36" i="10"/>
  <c r="P39" i="10"/>
  <c r="R37" i="10"/>
  <c r="Q35" i="10"/>
  <c r="P38" i="10"/>
  <c r="Q39" i="10"/>
  <c r="P35" i="10"/>
  <c r="R36" i="10"/>
  <c r="R35" i="10"/>
  <c r="T35" i="10" s="1"/>
  <c r="P37" i="10"/>
  <c r="Q38" i="10"/>
  <c r="S38" i="10" s="1"/>
  <c r="R39" i="10"/>
  <c r="R32" i="10"/>
  <c r="Q27" i="10"/>
  <c r="P30" i="10"/>
  <c r="Q31" i="10"/>
  <c r="S31" i="10" s="1"/>
  <c r="Q26" i="10"/>
  <c r="R27" i="10"/>
  <c r="P29" i="10"/>
  <c r="Q30" i="10"/>
  <c r="R31" i="10"/>
  <c r="P33" i="10"/>
  <c r="P26" i="10"/>
  <c r="R26" i="10"/>
  <c r="P28" i="10"/>
  <c r="Q29" i="10"/>
  <c r="R30" i="10"/>
  <c r="T30" i="10" s="1"/>
  <c r="P32" i="10"/>
  <c r="Q33" i="10"/>
  <c r="R28" i="10"/>
  <c r="P27" i="10"/>
  <c r="Q28" i="10"/>
  <c r="R29" i="10"/>
  <c r="P31" i="10"/>
  <c r="Q32" i="10"/>
  <c r="R33" i="10"/>
  <c r="R23" i="10"/>
  <c r="Q22" i="10"/>
  <c r="Q21" i="10"/>
  <c r="P24" i="10"/>
  <c r="R22" i="10"/>
  <c r="P21" i="10"/>
  <c r="P23" i="10"/>
  <c r="Q24" i="10"/>
  <c r="R21" i="10"/>
  <c r="Q23" i="10"/>
  <c r="R24" i="10"/>
  <c r="P22" i="10"/>
  <c r="R14" i="10"/>
  <c r="R9" i="10"/>
  <c r="Q12" i="10"/>
  <c r="P15" i="10"/>
  <c r="Q16" i="10"/>
  <c r="P19" i="10"/>
  <c r="R10" i="10"/>
  <c r="T10" i="10" s="1"/>
  <c r="R18" i="10"/>
  <c r="Q8" i="10"/>
  <c r="P11" i="10"/>
  <c r="R13" i="10"/>
  <c r="R17" i="10"/>
  <c r="T17" i="10" s="1"/>
  <c r="P8" i="10"/>
  <c r="Q17" i="10"/>
  <c r="P10" i="10"/>
  <c r="Q11" i="10"/>
  <c r="R12" i="10"/>
  <c r="R16" i="10"/>
  <c r="T16" i="10" s="1"/>
  <c r="P18" i="10"/>
  <c r="Q19" i="10"/>
  <c r="Q9" i="10"/>
  <c r="P16" i="10"/>
  <c r="S16" i="10" s="1"/>
  <c r="R8" i="10"/>
  <c r="T8" i="10" s="1"/>
  <c r="Q15" i="10"/>
  <c r="P12" i="10"/>
  <c r="P9" i="10"/>
  <c r="Q10" i="10"/>
  <c r="R11" i="10"/>
  <c r="P13" i="10"/>
  <c r="R15" i="10"/>
  <c r="T15" i="10" s="1"/>
  <c r="P17" i="10"/>
  <c r="S17" i="10" s="1"/>
  <c r="Q18" i="10"/>
  <c r="R19" i="10"/>
  <c r="T19" i="10" s="1"/>
  <c r="Q13" i="10"/>
  <c r="Q14" i="10"/>
  <c r="R7" i="10"/>
  <c r="Q7" i="10"/>
  <c r="AA18" i="10"/>
  <c r="AB15" i="10"/>
  <c r="AH15" i="10" s="1"/>
  <c r="AB17" i="10"/>
  <c r="AA14" i="10"/>
  <c r="AA30" i="10"/>
  <c r="AA13" i="10"/>
  <c r="T9" i="10"/>
  <c r="AB12" i="10"/>
  <c r="AH12" i="10" s="1"/>
  <c r="AA10" i="10"/>
  <c r="AA11" i="10"/>
  <c r="T23" i="10"/>
  <c r="AA23" i="10"/>
  <c r="AB29" i="10"/>
  <c r="AH29" i="10" s="1"/>
  <c r="AB21" i="10"/>
  <c r="AH21" i="10" s="1"/>
  <c r="AB22" i="10"/>
  <c r="AH22" i="10" s="1"/>
  <c r="T32" i="10"/>
  <c r="S33" i="10"/>
  <c r="AB8" i="10"/>
  <c r="AA12" i="10"/>
  <c r="AB9" i="10"/>
  <c r="AA15" i="10"/>
  <c r="AG15" i="10" s="1"/>
  <c r="AA16" i="10"/>
  <c r="AG16" i="10" s="1"/>
  <c r="AB18" i="10"/>
  <c r="AH18" i="10" s="1"/>
  <c r="AB26" i="10"/>
  <c r="AH26" i="10" s="1"/>
  <c r="AA27" i="10"/>
  <c r="AB38" i="10"/>
  <c r="AA35" i="10"/>
  <c r="AA31" i="10"/>
  <c r="AB24" i="10"/>
  <c r="AH24" i="10" s="1"/>
  <c r="AB28" i="10"/>
  <c r="AH28" i="10" s="1"/>
  <c r="AA38" i="10"/>
  <c r="AA29" i="10"/>
  <c r="AB31" i="10"/>
  <c r="AH31" i="10" s="1"/>
  <c r="AA39" i="10"/>
  <c r="X7" i="10"/>
  <c r="O7" i="10"/>
  <c r="M7" i="10"/>
  <c r="O8" i="10"/>
  <c r="O13" i="10"/>
  <c r="AG30" i="10"/>
  <c r="O16" i="10"/>
  <c r="I24" i="10"/>
  <c r="W24" i="10"/>
  <c r="O32" i="10"/>
  <c r="M11" i="10"/>
  <c r="M13" i="10"/>
  <c r="M10" i="10"/>
  <c r="O14" i="10"/>
  <c r="X18" i="10"/>
  <c r="O18" i="10"/>
  <c r="W7" i="10"/>
  <c r="W22" i="10"/>
  <c r="V23" i="10" s="1"/>
  <c r="X23" i="10" s="1"/>
  <c r="O23" i="10"/>
  <c r="AG14" i="10"/>
  <c r="X22" i="10"/>
  <c r="O38" i="10"/>
  <c r="AG18" i="10"/>
  <c r="M19" i="10"/>
  <c r="Y21" i="10"/>
  <c r="Y22" i="10"/>
  <c r="W23" i="10"/>
  <c r="Y23" i="10" s="1"/>
  <c r="W36" i="10"/>
  <c r="V37" i="10" s="1"/>
  <c r="O21" i="10"/>
  <c r="M30" i="10"/>
  <c r="W26" i="10"/>
  <c r="V27" i="10" s="1"/>
  <c r="W27" i="10" s="1"/>
  <c r="M27" i="10"/>
  <c r="O31" i="10"/>
  <c r="M16" i="10"/>
  <c r="O24" i="10"/>
  <c r="O28" i="10"/>
  <c r="O17" i="10"/>
  <c r="O19" i="10"/>
  <c r="M23" i="10"/>
  <c r="W37" i="10"/>
  <c r="V38" i="10" s="1"/>
  <c r="W38" i="10" s="1"/>
  <c r="V39" i="10" s="1"/>
  <c r="W39" i="10" s="1"/>
  <c r="W18" i="10"/>
  <c r="V19" i="10" s="1"/>
  <c r="X19" i="10" s="1"/>
  <c r="O22" i="10"/>
  <c r="Y24" i="10"/>
  <c r="X27" i="10"/>
  <c r="O27" i="10"/>
  <c r="O30" i="10"/>
  <c r="M39" i="10"/>
  <c r="M33" i="10"/>
  <c r="J35" i="4"/>
  <c r="J36" i="4"/>
  <c r="K36" i="4"/>
  <c r="J37" i="4"/>
  <c r="K37" i="4"/>
  <c r="J38" i="4"/>
  <c r="K38" i="4"/>
  <c r="J39" i="4"/>
  <c r="K39" i="4"/>
  <c r="K35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K26" i="4"/>
  <c r="J26" i="4"/>
  <c r="J22" i="4"/>
  <c r="K22" i="4"/>
  <c r="J23" i="4"/>
  <c r="K23" i="4"/>
  <c r="J24" i="4"/>
  <c r="K24" i="4"/>
  <c r="K21" i="4"/>
  <c r="J21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6" i="4"/>
  <c r="K16" i="4"/>
  <c r="J17" i="4"/>
  <c r="K17" i="4"/>
  <c r="J18" i="4"/>
  <c r="K18" i="4"/>
  <c r="J19" i="4"/>
  <c r="K19" i="4"/>
  <c r="AB36" i="10" a="1"/>
  <c r="AB10" i="10" a="1"/>
  <c r="AB33" i="10" a="1"/>
  <c r="AB7" i="10" a="1"/>
  <c r="AA26" i="10" a="1"/>
  <c r="AB19" i="10" a="1"/>
  <c r="R7" i="4" a="1"/>
  <c r="AA33" i="10" a="1"/>
  <c r="AA37" i="10" a="1"/>
  <c r="AB37" i="10" a="1"/>
  <c r="AB11" i="10" a="1"/>
  <c r="AA22" i="10" a="1"/>
  <c r="AA28" i="10" a="1"/>
  <c r="AA24" i="10" a="1"/>
  <c r="AA7" i="10" a="1"/>
  <c r="AA21" i="10" a="1"/>
  <c r="AB16" i="10" a="1"/>
  <c r="AB39" i="10" a="1"/>
  <c r="AA36" i="10" a="1"/>
  <c r="AB27" i="10" a="1"/>
  <c r="AA9" i="10" a="1"/>
  <c r="AB14" i="10" a="1"/>
  <c r="AB30" i="10" a="1"/>
  <c r="AB35" i="10" a="1"/>
  <c r="AA17" i="10" a="1"/>
  <c r="AA8" i="10" a="1"/>
  <c r="AB23" i="10" a="1"/>
  <c r="AA19" i="10" a="1"/>
  <c r="AB13" i="10" a="1"/>
  <c r="S8" i="10" l="1"/>
  <c r="S28" i="10"/>
  <c r="S18" i="10"/>
  <c r="S21" i="10"/>
  <c r="T37" i="10"/>
  <c r="AB33" i="10"/>
  <c r="AA36" i="10"/>
  <c r="AA24" i="10"/>
  <c r="AB23" i="10"/>
  <c r="AA19" i="10"/>
  <c r="AB30" i="10"/>
  <c r="AA33" i="10"/>
  <c r="S10" i="10"/>
  <c r="S11" i="10"/>
  <c r="T38" i="10"/>
  <c r="AA21" i="10"/>
  <c r="S23" i="10"/>
  <c r="S19" i="10"/>
  <c r="S30" i="10"/>
  <c r="AB7" i="10"/>
  <c r="T29" i="10"/>
  <c r="AA26" i="10"/>
  <c r="T31" i="10"/>
  <c r="AB14" i="10"/>
  <c r="S14" i="10"/>
  <c r="T11" i="10"/>
  <c r="S39" i="10"/>
  <c r="T33" i="10"/>
  <c r="T14" i="10"/>
  <c r="S12" i="10"/>
  <c r="AA8" i="10"/>
  <c r="S7" i="10"/>
  <c r="T26" i="10"/>
  <c r="AA37" i="10"/>
  <c r="S29" i="10"/>
  <c r="AB16" i="10"/>
  <c r="AA22" i="10"/>
  <c r="AB19" i="10"/>
  <c r="T22" i="10"/>
  <c r="T24" i="10"/>
  <c r="S32" i="10"/>
  <c r="T27" i="10"/>
  <c r="AB27" i="10"/>
  <c r="T13" i="10"/>
  <c r="T7" i="10"/>
  <c r="AB39" i="10"/>
  <c r="T18" i="10"/>
  <c r="AB36" i="10"/>
  <c r="T21" i="10"/>
  <c r="AA28" i="10"/>
  <c r="S22" i="10"/>
  <c r="S15" i="10"/>
  <c r="S27" i="10"/>
  <c r="AB13" i="10"/>
  <c r="T39" i="10"/>
  <c r="AB37" i="10"/>
  <c r="T36" i="10"/>
  <c r="AB35" i="10"/>
  <c r="AA17" i="10"/>
  <c r="T28" i="10"/>
  <c r="T12" i="10"/>
  <c r="AA9" i="10"/>
  <c r="AA7" i="10"/>
  <c r="AB10" i="10"/>
  <c r="S13" i="10"/>
  <c r="AB11" i="10"/>
  <c r="V28" i="10"/>
  <c r="Y27" i="10"/>
  <c r="Y26" i="10"/>
  <c r="AG39" i="10"/>
  <c r="AE39" i="10"/>
  <c r="AC39" i="10"/>
  <c r="AI39" i="10" s="1"/>
  <c r="AF24" i="10"/>
  <c r="AD24" i="10"/>
  <c r="AJ24" i="10" s="1"/>
  <c r="AH38" i="10"/>
  <c r="AF38" i="10"/>
  <c r="AD38" i="10"/>
  <c r="AJ38" i="10" s="1"/>
  <c r="AD22" i="10"/>
  <c r="AJ22" i="10" s="1"/>
  <c r="AF22" i="10"/>
  <c r="AC11" i="10"/>
  <c r="AI11" i="10" s="1"/>
  <c r="AG11" i="10"/>
  <c r="AE11" i="10"/>
  <c r="AE13" i="10"/>
  <c r="AC13" i="10"/>
  <c r="AI13" i="10" s="1"/>
  <c r="AG13" i="10"/>
  <c r="W19" i="10"/>
  <c r="Y19" i="10" s="1"/>
  <c r="AG31" i="10"/>
  <c r="AE31" i="10"/>
  <c r="AC31" i="10"/>
  <c r="AI31" i="10" s="1"/>
  <c r="AE15" i="10"/>
  <c r="AC15" i="10"/>
  <c r="AI15" i="10" s="1"/>
  <c r="AD8" i="10"/>
  <c r="AJ8" i="10" s="1"/>
  <c r="AH8" i="10"/>
  <c r="AF8" i="10"/>
  <c r="AF21" i="10"/>
  <c r="AD21" i="10"/>
  <c r="AJ21" i="10" s="1"/>
  <c r="AE23" i="10"/>
  <c r="AC23" i="10"/>
  <c r="AI23" i="10" s="1"/>
  <c r="AG23" i="10"/>
  <c r="AE30" i="10"/>
  <c r="AC30" i="10"/>
  <c r="AI30" i="10" s="1"/>
  <c r="AF17" i="10"/>
  <c r="AH17" i="10"/>
  <c r="AD17" i="10"/>
  <c r="AJ17" i="10" s="1"/>
  <c r="AF31" i="10"/>
  <c r="AD31" i="10"/>
  <c r="AJ31" i="10" s="1"/>
  <c r="AE27" i="10"/>
  <c r="AC27" i="10"/>
  <c r="AI27" i="10" s="1"/>
  <c r="AG27" i="10"/>
  <c r="AH9" i="10"/>
  <c r="AF9" i="10"/>
  <c r="AD9" i="10"/>
  <c r="AJ9" i="10" s="1"/>
  <c r="S35" i="10"/>
  <c r="S9" i="10"/>
  <c r="AG29" i="10"/>
  <c r="AE29" i="10"/>
  <c r="AC29" i="10"/>
  <c r="AI29" i="10" s="1"/>
  <c r="AF26" i="10"/>
  <c r="AD26" i="10"/>
  <c r="AJ26" i="10" s="1"/>
  <c r="AE10" i="10"/>
  <c r="AC10" i="10"/>
  <c r="AI10" i="10" s="1"/>
  <c r="AG10" i="10"/>
  <c r="S36" i="10"/>
  <c r="S37" i="10"/>
  <c r="AG12" i="10"/>
  <c r="AE12" i="10"/>
  <c r="AC12" i="10"/>
  <c r="AI12" i="10" s="1"/>
  <c r="AD15" i="10"/>
  <c r="AJ15" i="10" s="1"/>
  <c r="AF15" i="10"/>
  <c r="Y18" i="10"/>
  <c r="AG38" i="10"/>
  <c r="AE38" i="10"/>
  <c r="AC38" i="10"/>
  <c r="AI38" i="10" s="1"/>
  <c r="AC35" i="10"/>
  <c r="AI35" i="10" s="1"/>
  <c r="AG35" i="10"/>
  <c r="AE35" i="10"/>
  <c r="AD18" i="10"/>
  <c r="AJ18" i="10" s="1"/>
  <c r="AF18" i="10"/>
  <c r="V8" i="10"/>
  <c r="Y7" i="10"/>
  <c r="AF29" i="10"/>
  <c r="AD29" i="10"/>
  <c r="AJ29" i="10" s="1"/>
  <c r="AF12" i="10"/>
  <c r="AD12" i="10"/>
  <c r="AJ12" i="10" s="1"/>
  <c r="AE18" i="10"/>
  <c r="AC18" i="10"/>
  <c r="AI18" i="10" s="1"/>
  <c r="AF28" i="10"/>
  <c r="AD28" i="10"/>
  <c r="AJ28" i="10" s="1"/>
  <c r="AE16" i="10"/>
  <c r="AC16" i="10"/>
  <c r="AI16" i="10" s="1"/>
  <c r="S24" i="10"/>
  <c r="AF32" i="10"/>
  <c r="AD32" i="10"/>
  <c r="AJ32" i="10" s="1"/>
  <c r="AH32" i="10"/>
  <c r="AC14" i="10"/>
  <c r="AI14" i="10" s="1"/>
  <c r="AE14" i="10"/>
  <c r="R7" i="4"/>
  <c r="B19" i="8"/>
  <c r="M8" i="4"/>
  <c r="B22" i="4"/>
  <c r="C22" i="4"/>
  <c r="B23" i="4"/>
  <c r="C23" i="4"/>
  <c r="B24" i="4"/>
  <c r="C24" i="4"/>
  <c r="C21" i="4"/>
  <c r="B21" i="4"/>
  <c r="M23" i="4"/>
  <c r="M10" i="4"/>
  <c r="M11" i="4"/>
  <c r="M14" i="4"/>
  <c r="M15" i="4"/>
  <c r="M18" i="4"/>
  <c r="M19" i="4"/>
  <c r="B39" i="4"/>
  <c r="D39" i="4" s="1"/>
  <c r="C39" i="4"/>
  <c r="E39" i="4" s="1"/>
  <c r="F39" i="4"/>
  <c r="I39" i="4" s="1"/>
  <c r="M39" i="4"/>
  <c r="D21" i="4"/>
  <c r="E21" i="4"/>
  <c r="W21" i="4" s="1"/>
  <c r="E22" i="4"/>
  <c r="D22" i="4"/>
  <c r="E23" i="4"/>
  <c r="D23" i="4"/>
  <c r="E24" i="4"/>
  <c r="D24" i="4"/>
  <c r="W24" i="4" s="1"/>
  <c r="Y24" i="4" s="1"/>
  <c r="B26" i="4"/>
  <c r="D26" i="4" s="1"/>
  <c r="C26" i="4"/>
  <c r="E26" i="4" s="1"/>
  <c r="W26" i="4" s="1"/>
  <c r="V27" i="4" s="1"/>
  <c r="F26" i="4"/>
  <c r="I26" i="4" s="1"/>
  <c r="M26" i="4"/>
  <c r="B27" i="4"/>
  <c r="D27" i="4" s="1"/>
  <c r="O27" i="4" s="1"/>
  <c r="C27" i="4"/>
  <c r="E27" i="4" s="1"/>
  <c r="F27" i="4"/>
  <c r="I27" i="4" s="1"/>
  <c r="M27" i="4"/>
  <c r="B28" i="4"/>
  <c r="C28" i="4"/>
  <c r="E28" i="4" s="1"/>
  <c r="D28" i="4"/>
  <c r="F28" i="4"/>
  <c r="I28" i="4" s="1"/>
  <c r="M28" i="4"/>
  <c r="B29" i="4"/>
  <c r="C29" i="4"/>
  <c r="D29" i="4"/>
  <c r="O29" i="4" s="1"/>
  <c r="E29" i="4"/>
  <c r="F29" i="4"/>
  <c r="I29" i="4" s="1"/>
  <c r="M29" i="4"/>
  <c r="B30" i="4"/>
  <c r="D30" i="4" s="1"/>
  <c r="O30" i="4" s="1"/>
  <c r="C30" i="4"/>
  <c r="E30" i="4"/>
  <c r="F30" i="4"/>
  <c r="I30" i="4" s="1"/>
  <c r="M30" i="4"/>
  <c r="B31" i="4"/>
  <c r="D31" i="4" s="1"/>
  <c r="C31" i="4"/>
  <c r="E31" i="4" s="1"/>
  <c r="F31" i="4"/>
  <c r="I31" i="4" s="1"/>
  <c r="M31" i="4"/>
  <c r="B32" i="4"/>
  <c r="C32" i="4"/>
  <c r="E32" i="4" s="1"/>
  <c r="O32" i="4" s="1"/>
  <c r="D32" i="4"/>
  <c r="F32" i="4"/>
  <c r="I32" i="4" s="1"/>
  <c r="M32" i="4"/>
  <c r="B33" i="4"/>
  <c r="C33" i="4"/>
  <c r="D33" i="4"/>
  <c r="E33" i="4"/>
  <c r="F33" i="4"/>
  <c r="I33" i="4" s="1"/>
  <c r="M33" i="4"/>
  <c r="O33" i="4"/>
  <c r="B35" i="4"/>
  <c r="D35" i="4" s="1"/>
  <c r="O35" i="4" s="1"/>
  <c r="C35" i="4"/>
  <c r="E35" i="4"/>
  <c r="F35" i="4"/>
  <c r="I35" i="4" s="1"/>
  <c r="M35" i="4"/>
  <c r="B36" i="4"/>
  <c r="D36" i="4" s="1"/>
  <c r="O36" i="4" s="1"/>
  <c r="C36" i="4"/>
  <c r="E36" i="4" s="1"/>
  <c r="F36" i="4"/>
  <c r="I36" i="4" s="1"/>
  <c r="M36" i="4"/>
  <c r="B37" i="4"/>
  <c r="C37" i="4"/>
  <c r="E37" i="4" s="1"/>
  <c r="D37" i="4"/>
  <c r="O37" i="4" s="1"/>
  <c r="F37" i="4"/>
  <c r="I37" i="4" s="1"/>
  <c r="M37" i="4"/>
  <c r="B38" i="4"/>
  <c r="C38" i="4"/>
  <c r="D38" i="4"/>
  <c r="O38" i="4" s="1"/>
  <c r="E38" i="4"/>
  <c r="F38" i="4"/>
  <c r="I38" i="4" s="1"/>
  <c r="M38" i="4"/>
  <c r="I7" i="4"/>
  <c r="F8" i="4"/>
  <c r="I8" i="4" s="1"/>
  <c r="F9" i="4"/>
  <c r="I9" i="4" s="1"/>
  <c r="F10" i="4"/>
  <c r="I10" i="4" s="1"/>
  <c r="F11" i="4"/>
  <c r="I11" i="4" s="1"/>
  <c r="F12" i="4"/>
  <c r="I12" i="4" s="1"/>
  <c r="F13" i="4"/>
  <c r="I13" i="4" s="1"/>
  <c r="F14" i="4"/>
  <c r="I14" i="4" s="1"/>
  <c r="F15" i="4"/>
  <c r="I15" i="4" s="1"/>
  <c r="F16" i="4"/>
  <c r="I16" i="4" s="1"/>
  <c r="F17" i="4"/>
  <c r="I17" i="4" s="1"/>
  <c r="F18" i="4"/>
  <c r="I18" i="4" s="1"/>
  <c r="F19" i="4"/>
  <c r="I19" i="4" s="1"/>
  <c r="F21" i="4"/>
  <c r="I21" i="4" s="1"/>
  <c r="F22" i="4"/>
  <c r="I22" i="4" s="1"/>
  <c r="F23" i="4"/>
  <c r="I23" i="4" s="1"/>
  <c r="F24" i="4"/>
  <c r="I24" i="4" s="1"/>
  <c r="C15" i="4"/>
  <c r="E15" i="4"/>
  <c r="B15" i="4"/>
  <c r="D15" i="4"/>
  <c r="O15" i="4" s="1"/>
  <c r="C16" i="4"/>
  <c r="E16" i="4" s="1"/>
  <c r="B16" i="4"/>
  <c r="D16" i="4" s="1"/>
  <c r="C8" i="4"/>
  <c r="E8" i="4"/>
  <c r="B8" i="4"/>
  <c r="D8" i="4"/>
  <c r="C7" i="4"/>
  <c r="B7" i="4"/>
  <c r="B11" i="4"/>
  <c r="C11" i="4"/>
  <c r="D11" i="4"/>
  <c r="O11" i="4" s="1"/>
  <c r="E11" i="4"/>
  <c r="C10" i="4"/>
  <c r="E10" i="4"/>
  <c r="B10" i="4"/>
  <c r="D10" i="4" s="1"/>
  <c r="C9" i="4"/>
  <c r="E9" i="4"/>
  <c r="B9" i="4"/>
  <c r="D9" i="4" s="1"/>
  <c r="B12" i="4"/>
  <c r="C12" i="4"/>
  <c r="D12" i="4"/>
  <c r="O12" i="4" s="1"/>
  <c r="E12" i="4"/>
  <c r="M12" i="4"/>
  <c r="B13" i="4"/>
  <c r="C13" i="4"/>
  <c r="D13" i="4"/>
  <c r="O13" i="4" s="1"/>
  <c r="E13" i="4"/>
  <c r="M13" i="4"/>
  <c r="B14" i="4"/>
  <c r="C14" i="4"/>
  <c r="D14" i="4"/>
  <c r="O14" i="4" s="1"/>
  <c r="E14" i="4"/>
  <c r="B17" i="4"/>
  <c r="D17" i="4" s="1"/>
  <c r="C17" i="4"/>
  <c r="E17" i="4" s="1"/>
  <c r="M17" i="4"/>
  <c r="B18" i="4"/>
  <c r="C18" i="4"/>
  <c r="D18" i="4"/>
  <c r="O18" i="4" s="1"/>
  <c r="E18" i="4"/>
  <c r="B19" i="4"/>
  <c r="C19" i="4"/>
  <c r="D19" i="4"/>
  <c r="E19" i="4"/>
  <c r="O19" i="4"/>
  <c r="M21" i="4"/>
  <c r="O21" i="4"/>
  <c r="X21" i="4"/>
  <c r="M22" i="4"/>
  <c r="O22" i="4"/>
  <c r="M24" i="4"/>
  <c r="O24" i="4"/>
  <c r="X24" i="4"/>
  <c r="D5" i="8"/>
  <c r="O8" i="4"/>
  <c r="M9" i="4"/>
  <c r="M7" i="4"/>
  <c r="L28" i="4"/>
  <c r="AA17" i="4" a="1"/>
  <c r="AA19" i="4" a="1"/>
  <c r="AA8" i="4" a="1"/>
  <c r="R27" i="4" a="1"/>
  <c r="AB10" i="4" a="1"/>
  <c r="L7" i="4"/>
  <c r="P31" i="4" a="1"/>
  <c r="AB26" i="4" a="1"/>
  <c r="AA32" i="4" a="1"/>
  <c r="AA18" i="4" a="1"/>
  <c r="L21" i="4"/>
  <c r="Q23" i="4" a="1"/>
  <c r="AA26" i="4" a="1"/>
  <c r="AB15" i="4" a="1"/>
  <c r="P12" i="4" a="1"/>
  <c r="AA12" i="4" a="1"/>
  <c r="R30" i="4" a="1"/>
  <c r="L31" i="4"/>
  <c r="AB39" i="4" a="1"/>
  <c r="R23" i="4" a="1"/>
  <c r="P33" i="4" a="1"/>
  <c r="P19" i="4" a="1"/>
  <c r="Q38" i="4" a="1"/>
  <c r="L24" i="4"/>
  <c r="AA31" i="4" a="1"/>
  <c r="R9" i="4" a="1"/>
  <c r="R19" i="4" a="1"/>
  <c r="Q9" i="4" a="1"/>
  <c r="P10" i="4" a="1"/>
  <c r="R15" i="4" a="1"/>
  <c r="AB21" i="4" a="1"/>
  <c r="L29" i="4"/>
  <c r="AB29" i="4" a="1"/>
  <c r="Q28" i="4" a="1"/>
  <c r="AA38" i="4" a="1"/>
  <c r="L26" i="4"/>
  <c r="L22" i="4"/>
  <c r="L11" i="4"/>
  <c r="AA16" i="4" a="1"/>
  <c r="R39" i="4" a="1"/>
  <c r="AB28" i="4" a="1"/>
  <c r="AB24" i="4" a="1"/>
  <c r="L38" i="4"/>
  <c r="Q30" i="4" a="1"/>
  <c r="AA28" i="4" a="1"/>
  <c r="L35" i="4"/>
  <c r="P22" i="4" a="1"/>
  <c r="P17" i="4" a="1"/>
  <c r="Q21" i="4" a="1"/>
  <c r="AA9" i="4" a="1"/>
  <c r="L12" i="4"/>
  <c r="Q18" i="4" a="1"/>
  <c r="Q19" i="4" a="1"/>
  <c r="Q8" i="4" a="1"/>
  <c r="Q15" i="4" a="1"/>
  <c r="P21" i="4" a="1"/>
  <c r="AB14" i="4" a="1"/>
  <c r="AB30" i="4" a="1"/>
  <c r="AA13" i="4" a="1"/>
  <c r="AA30" i="4" a="1"/>
  <c r="L15" i="4"/>
  <c r="P23" i="4" a="1"/>
  <c r="R35" i="4" a="1"/>
  <c r="AB33" i="4" a="1"/>
  <c r="AA15" i="4" a="1"/>
  <c r="AB35" i="4" a="1"/>
  <c r="AB9" i="4" a="1"/>
  <c r="AA10" i="4" a="1"/>
  <c r="Q35" i="4" a="1"/>
  <c r="AA37" i="4" a="1"/>
  <c r="AA22" i="4" a="1"/>
  <c r="P9" i="4" a="1"/>
  <c r="R17" i="4" a="1"/>
  <c r="L17" i="4"/>
  <c r="AB36" i="4" a="1"/>
  <c r="L37" i="4"/>
  <c r="L36" i="4"/>
  <c r="R13" i="4" a="1"/>
  <c r="Q10" i="4" a="1"/>
  <c r="R21" i="4" a="1"/>
  <c r="AA24" i="4" a="1"/>
  <c r="AB11" i="4" a="1"/>
  <c r="AB18" i="4" a="1"/>
  <c r="L27" i="4"/>
  <c r="L9" i="4"/>
  <c r="Q11" i="4" a="1"/>
  <c r="AA23" i="4" a="1"/>
  <c r="Q39" i="4" a="1"/>
  <c r="L19" i="4"/>
  <c r="R12" i="4" a="1"/>
  <c r="Q32" i="4" a="1"/>
  <c r="P28" i="4" a="1"/>
  <c r="R28" i="4" a="1"/>
  <c r="L8" i="4"/>
  <c r="Q16" i="4" a="1"/>
  <c r="R14" i="4" a="1"/>
  <c r="AB13" i="4" a="1"/>
  <c r="AA14" i="4" a="1"/>
  <c r="P36" i="4" a="1"/>
  <c r="Q24" i="4" a="1"/>
  <c r="AB17" i="4" a="1"/>
  <c r="P13" i="4" a="1"/>
  <c r="L39" i="4"/>
  <c r="AA7" i="4" a="1"/>
  <c r="Q31" i="4" a="1"/>
  <c r="AA35" i="4" a="1"/>
  <c r="AB7" i="4" a="1"/>
  <c r="L30" i="4"/>
  <c r="AA39" i="4" a="1"/>
  <c r="R10" i="4" a="1"/>
  <c r="Q33" i="4" a="1"/>
  <c r="P37" i="4" a="1"/>
  <c r="AB23" i="4" a="1"/>
  <c r="P30" i="4" a="1"/>
  <c r="R37" i="4" a="1"/>
  <c r="P32" i="4" a="1"/>
  <c r="Q37" i="4" a="1"/>
  <c r="Q22" i="4" a="1"/>
  <c r="Q14" i="4" a="1"/>
  <c r="Q13" i="4" a="1"/>
  <c r="L10" i="4"/>
  <c r="AA11" i="4" a="1"/>
  <c r="P29" i="4" a="1"/>
  <c r="P15" i="4" a="1"/>
  <c r="AB38" i="4" a="1"/>
  <c r="Q26" i="4" a="1"/>
  <c r="L32" i="4"/>
  <c r="Q12" i="4" a="1"/>
  <c r="P35" i="4" a="1"/>
  <c r="AA21" i="4" a="1"/>
  <c r="P27" i="4" a="1"/>
  <c r="R11" i="4" a="1"/>
  <c r="AB12" i="4" a="1"/>
  <c r="AA27" i="4" a="1"/>
  <c r="AB32" i="4" a="1"/>
  <c r="Q17" i="4" a="1"/>
  <c r="L23" i="4"/>
  <c r="P26" i="4" a="1"/>
  <c r="Q27" i="4" a="1"/>
  <c r="Q36" i="4" a="1"/>
  <c r="P14" i="4" a="1"/>
  <c r="R8" i="4" a="1"/>
  <c r="R18" i="4" a="1"/>
  <c r="R31" i="4" a="1"/>
  <c r="R26" i="4" a="1"/>
  <c r="AB8" i="4" a="1"/>
  <c r="P8" i="4" a="1"/>
  <c r="R38" i="4" a="1"/>
  <c r="AB31" i="4" a="1"/>
  <c r="R32" i="4" a="1"/>
  <c r="P38" i="4" a="1"/>
  <c r="P18" i="4" a="1"/>
  <c r="R24" i="4" a="1"/>
  <c r="R29" i="4" a="1"/>
  <c r="AB27" i="4" a="1"/>
  <c r="L13" i="4"/>
  <c r="AB22" i="4" a="1"/>
  <c r="L14" i="4"/>
  <c r="R33" i="4" a="1"/>
  <c r="Q29" i="4" a="1"/>
  <c r="P11" i="4" a="1"/>
  <c r="L18" i="4"/>
  <c r="AA33" i="4" a="1"/>
  <c r="AA29" i="4" a="1"/>
  <c r="AA36" i="4" a="1"/>
  <c r="R22" i="4" a="1"/>
  <c r="P24" i="4" a="1"/>
  <c r="P39" i="4" a="1"/>
  <c r="AB19" i="4" a="1"/>
  <c r="AB37" i="4" a="1"/>
  <c r="L33" i="4"/>
  <c r="R36" i="4" a="1"/>
  <c r="S26" i="10" l="1"/>
  <c r="AC8" i="10"/>
  <c r="AI8" i="10" s="1"/>
  <c r="AE8" i="10"/>
  <c r="AG8" i="10"/>
  <c r="AD30" i="10"/>
  <c r="AJ30" i="10" s="1"/>
  <c r="AF30" i="10"/>
  <c r="AH30" i="10"/>
  <c r="AF19" i="10"/>
  <c r="AD19" i="10"/>
  <c r="AJ19" i="10" s="1"/>
  <c r="AH19" i="10"/>
  <c r="X28" i="10"/>
  <c r="W28" i="10"/>
  <c r="AE17" i="10"/>
  <c r="AC17" i="10"/>
  <c r="AI17" i="10" s="1"/>
  <c r="AG17" i="10"/>
  <c r="AF27" i="10"/>
  <c r="AD27" i="10"/>
  <c r="AJ27" i="10" s="1"/>
  <c r="AH27" i="10"/>
  <c r="AE22" i="10"/>
  <c r="AC22" i="10"/>
  <c r="AI22" i="10" s="1"/>
  <c r="AG22" i="10"/>
  <c r="AC21" i="10"/>
  <c r="AI21" i="10" s="1"/>
  <c r="AE21" i="10"/>
  <c r="AG21" i="10"/>
  <c r="AD23" i="10"/>
  <c r="AJ23" i="10" s="1"/>
  <c r="AF23" i="10"/>
  <c r="AH23" i="10"/>
  <c r="W8" i="10"/>
  <c r="X8" i="10"/>
  <c r="AD14" i="10"/>
  <c r="AJ14" i="10" s="1"/>
  <c r="AF14" i="10"/>
  <c r="AH14" i="10"/>
  <c r="AF11" i="10"/>
  <c r="AD11" i="10"/>
  <c r="AJ11" i="10" s="1"/>
  <c r="AH11" i="10"/>
  <c r="AD35" i="10"/>
  <c r="AJ35" i="10" s="1"/>
  <c r="AF35" i="10"/>
  <c r="AH35" i="10"/>
  <c r="AC28" i="10"/>
  <c r="AI28" i="10" s="1"/>
  <c r="AE28" i="10"/>
  <c r="AG28" i="10"/>
  <c r="AF16" i="10"/>
  <c r="AD16" i="10"/>
  <c r="AJ16" i="10" s="1"/>
  <c r="AH16" i="10"/>
  <c r="AE26" i="10"/>
  <c r="AC26" i="10"/>
  <c r="AI26" i="10" s="1"/>
  <c r="AG26" i="10"/>
  <c r="AC24" i="10"/>
  <c r="AI24" i="10" s="1"/>
  <c r="AE24" i="10"/>
  <c r="AG24" i="10"/>
  <c r="AC36" i="10"/>
  <c r="AI36" i="10" s="1"/>
  <c r="AE36" i="10"/>
  <c r="AG36" i="10"/>
  <c r="AE19" i="10"/>
  <c r="AC19" i="10"/>
  <c r="AI19" i="10" s="1"/>
  <c r="AG19" i="10"/>
  <c r="AF10" i="10"/>
  <c r="AD10" i="10"/>
  <c r="AJ10" i="10" s="1"/>
  <c r="AH10" i="10"/>
  <c r="AH37" i="10"/>
  <c r="AF37" i="10"/>
  <c r="AD37" i="10"/>
  <c r="AJ37" i="10" s="1"/>
  <c r="AF36" i="10"/>
  <c r="AD36" i="10"/>
  <c r="AJ36" i="10" s="1"/>
  <c r="AH36" i="10"/>
  <c r="AE32" i="10"/>
  <c r="AI32" i="10"/>
  <c r="AG32" i="10"/>
  <c r="AD33" i="10"/>
  <c r="AJ33" i="10" s="1"/>
  <c r="AF33" i="10"/>
  <c r="AH33" i="10"/>
  <c r="AE7" i="10"/>
  <c r="AC7" i="10"/>
  <c r="AI7" i="10" s="1"/>
  <c r="AG7" i="10"/>
  <c r="AE37" i="10"/>
  <c r="AC37" i="10"/>
  <c r="AI37" i="10" s="1"/>
  <c r="AG37" i="10"/>
  <c r="AD7" i="10"/>
  <c r="AJ7" i="10" s="1"/>
  <c r="AF7" i="10"/>
  <c r="AH7" i="10"/>
  <c r="AE9" i="10"/>
  <c r="AC9" i="10"/>
  <c r="AI9" i="10" s="1"/>
  <c r="AG9" i="10"/>
  <c r="AD13" i="10"/>
  <c r="AJ13" i="10" s="1"/>
  <c r="AF13" i="10"/>
  <c r="AH13" i="10"/>
  <c r="AF39" i="10"/>
  <c r="AD39" i="10"/>
  <c r="AJ39" i="10" s="1"/>
  <c r="AH39" i="10"/>
  <c r="AC33" i="10"/>
  <c r="AI33" i="10" s="1"/>
  <c r="AE33" i="10"/>
  <c r="AG33" i="10"/>
  <c r="O10" i="4"/>
  <c r="W7" i="4"/>
  <c r="V8" i="4" s="1"/>
  <c r="W8" i="4" s="1"/>
  <c r="O39" i="4"/>
  <c r="O17" i="4"/>
  <c r="W19" i="4"/>
  <c r="Y19" i="4" s="1"/>
  <c r="O9" i="4"/>
  <c r="O16" i="4"/>
  <c r="W35" i="4"/>
  <c r="O28" i="4"/>
  <c r="V22" i="4"/>
  <c r="X22" i="4" s="1"/>
  <c r="Y21" i="4"/>
  <c r="O7" i="4"/>
  <c r="X7" i="4"/>
  <c r="O31" i="4"/>
  <c r="O26" i="4"/>
  <c r="X26" i="4"/>
  <c r="W18" i="4"/>
  <c r="V19" i="4" s="1"/>
  <c r="X19" i="4" s="1"/>
  <c r="O23" i="4"/>
  <c r="X18" i="4"/>
  <c r="V36" i="4"/>
  <c r="X27" i="4"/>
  <c r="W27" i="4"/>
  <c r="Y26" i="4"/>
  <c r="R8" i="4"/>
  <c r="T8" i="4" s="1"/>
  <c r="Q8" i="4"/>
  <c r="P8" i="4"/>
  <c r="AB31" i="4"/>
  <c r="R17" i="4"/>
  <c r="T17" i="4" s="1"/>
  <c r="R35" i="4"/>
  <c r="T35" i="4" s="1"/>
  <c r="R30" i="4"/>
  <c r="T30" i="4" s="1"/>
  <c r="R26" i="4"/>
  <c r="T26" i="4" s="1"/>
  <c r="R19" i="4"/>
  <c r="T19" i="4" s="1"/>
  <c r="AB36" i="4"/>
  <c r="AB21" i="4"/>
  <c r="AB37" i="4"/>
  <c r="AB32" i="4"/>
  <c r="AB28" i="4"/>
  <c r="R24" i="4"/>
  <c r="T24" i="4" s="1"/>
  <c r="R38" i="4"/>
  <c r="T38" i="4" s="1"/>
  <c r="Q10" i="4"/>
  <c r="P18" i="4"/>
  <c r="R13" i="4"/>
  <c r="T13" i="4" s="1"/>
  <c r="R36" i="4"/>
  <c r="T36" i="4" s="1"/>
  <c r="R31" i="4"/>
  <c r="T31" i="4" s="1"/>
  <c r="R27" i="4"/>
  <c r="T27" i="4" s="1"/>
  <c r="AB13" i="4"/>
  <c r="R29" i="4"/>
  <c r="T29" i="4" s="1"/>
  <c r="AB27" i="4"/>
  <c r="AB9" i="4"/>
  <c r="R22" i="4"/>
  <c r="T22" i="4" s="1"/>
  <c r="AB38" i="4"/>
  <c r="AB33" i="4"/>
  <c r="AB29" i="4"/>
  <c r="P39" i="4"/>
  <c r="R33" i="4"/>
  <c r="T33" i="4" s="1"/>
  <c r="AB19" i="4"/>
  <c r="R21" i="4"/>
  <c r="T21" i="4" s="1"/>
  <c r="AB17" i="4"/>
  <c r="P15" i="4"/>
  <c r="P14" i="4"/>
  <c r="R37" i="4"/>
  <c r="T37" i="4" s="1"/>
  <c r="R32" i="4"/>
  <c r="T32" i="4" s="1"/>
  <c r="R28" i="4"/>
  <c r="T28" i="4" s="1"/>
  <c r="AB22" i="4"/>
  <c r="R23" i="4"/>
  <c r="T23" i="4" s="1"/>
  <c r="AB24" i="4"/>
  <c r="AB23" i="4"/>
  <c r="AB35" i="4"/>
  <c r="AB30" i="4"/>
  <c r="AB26" i="4"/>
  <c r="P10" i="4"/>
  <c r="AA7" i="4"/>
  <c r="AB10" i="4"/>
  <c r="AA8" i="4"/>
  <c r="P11" i="4"/>
  <c r="P9" i="4"/>
  <c r="P38" i="4"/>
  <c r="P37" i="4"/>
  <c r="P36" i="4"/>
  <c r="P35" i="4"/>
  <c r="P33" i="4"/>
  <c r="P32" i="4"/>
  <c r="P31" i="4"/>
  <c r="P30" i="4"/>
  <c r="P29" i="4"/>
  <c r="P28" i="4"/>
  <c r="P27" i="4"/>
  <c r="R39" i="4"/>
  <c r="T39" i="4" s="1"/>
  <c r="Q11" i="4"/>
  <c r="P12" i="4"/>
  <c r="P24" i="4"/>
  <c r="P23" i="4"/>
  <c r="P22" i="4"/>
  <c r="P21" i="4"/>
  <c r="P19" i="4"/>
  <c r="AB18" i="4"/>
  <c r="R18" i="4"/>
  <c r="T18" i="4" s="1"/>
  <c r="P17" i="4"/>
  <c r="AB15" i="4"/>
  <c r="R15" i="4"/>
  <c r="T15" i="4" s="1"/>
  <c r="AB14" i="4"/>
  <c r="R14" i="4"/>
  <c r="T14" i="4" s="1"/>
  <c r="P13" i="4"/>
  <c r="AB12" i="4"/>
  <c r="R12" i="4"/>
  <c r="T12" i="4" s="1"/>
  <c r="AB39" i="4"/>
  <c r="AB11" i="4"/>
  <c r="AB7" i="4"/>
  <c r="R10" i="4"/>
  <c r="T10" i="4" s="1"/>
  <c r="AA10" i="4"/>
  <c r="AA9" i="4"/>
  <c r="Q39" i="4"/>
  <c r="R9" i="4"/>
  <c r="T9" i="4" s="1"/>
  <c r="AA18" i="4"/>
  <c r="Q18" i="4"/>
  <c r="AA16" i="4"/>
  <c r="Q16" i="4"/>
  <c r="AA15" i="4"/>
  <c r="Q15" i="4"/>
  <c r="AA14" i="4"/>
  <c r="Q14" i="4"/>
  <c r="AA12" i="4"/>
  <c r="Q12" i="4"/>
  <c r="AA39" i="4"/>
  <c r="R11" i="4"/>
  <c r="T11" i="4" s="1"/>
  <c r="AA38" i="4"/>
  <c r="Q38" i="4"/>
  <c r="AA37" i="4"/>
  <c r="Q37" i="4"/>
  <c r="AA36" i="4"/>
  <c r="Q36" i="4"/>
  <c r="AA35" i="4"/>
  <c r="Q35" i="4"/>
  <c r="AA33" i="4"/>
  <c r="Q33" i="4"/>
  <c r="AA32" i="4"/>
  <c r="Q32" i="4"/>
  <c r="AA31" i="4"/>
  <c r="Q31" i="4"/>
  <c r="AA30" i="4"/>
  <c r="Q30" i="4"/>
  <c r="AA29" i="4"/>
  <c r="Q29" i="4"/>
  <c r="AA28" i="4"/>
  <c r="Q28" i="4"/>
  <c r="AA27" i="4"/>
  <c r="Q27" i="4"/>
  <c r="AA26" i="4"/>
  <c r="P26" i="4"/>
  <c r="Q26" i="4"/>
  <c r="T7" i="4"/>
  <c r="AB8" i="4"/>
  <c r="AA24" i="4"/>
  <c r="Q24" i="4"/>
  <c r="AA23" i="4"/>
  <c r="Q23" i="4"/>
  <c r="AA22" i="4"/>
  <c r="Q22" i="4"/>
  <c r="AA21" i="4"/>
  <c r="Q21" i="4"/>
  <c r="AA19" i="4"/>
  <c r="Q19" i="4"/>
  <c r="AA17" i="4"/>
  <c r="Q17" i="4"/>
  <c r="AA13" i="4"/>
  <c r="Q13" i="4"/>
  <c r="AA11" i="4"/>
  <c r="Q9" i="4"/>
  <c r="P16" i="4" a="1"/>
  <c r="AB16" i="4" a="1"/>
  <c r="R16" i="4" a="1"/>
  <c r="L16" i="4"/>
  <c r="X8" i="4" l="1"/>
  <c r="V9" i="10"/>
  <c r="Y8" i="10"/>
  <c r="V29" i="10"/>
  <c r="Y28" i="10"/>
  <c r="Y8" i="4"/>
  <c r="V9" i="4"/>
  <c r="S8" i="4"/>
  <c r="W22" i="4"/>
  <c r="Y7" i="4"/>
  <c r="Y18" i="4"/>
  <c r="S26" i="4"/>
  <c r="S7" i="4"/>
  <c r="S10" i="4"/>
  <c r="W36" i="4"/>
  <c r="Y27" i="4"/>
  <c r="V28" i="4"/>
  <c r="R16" i="4"/>
  <c r="T16" i="4" s="1"/>
  <c r="AB16" i="4"/>
  <c r="AD16" i="4" s="1"/>
  <c r="AJ16" i="4" s="1"/>
  <c r="P16" i="4"/>
  <c r="S16" i="4" s="1"/>
  <c r="M16" i="4"/>
  <c r="S33" i="4"/>
  <c r="S35" i="4"/>
  <c r="S27" i="4"/>
  <c r="S22" i="4"/>
  <c r="AG27" i="4"/>
  <c r="AC27" i="4"/>
  <c r="AI27" i="4" s="1"/>
  <c r="AE27" i="4"/>
  <c r="AG19" i="4"/>
  <c r="AC19" i="4"/>
  <c r="AI19" i="4" s="1"/>
  <c r="AE19" i="4"/>
  <c r="S18" i="4"/>
  <c r="AF36" i="4"/>
  <c r="AH36" i="4"/>
  <c r="AD36" i="4"/>
  <c r="AJ36" i="4" s="1"/>
  <c r="AH8" i="4"/>
  <c r="AD8" i="4"/>
  <c r="AJ8" i="4" s="1"/>
  <c r="AF8" i="4"/>
  <c r="AG28" i="4"/>
  <c r="AC28" i="4"/>
  <c r="AI28" i="4" s="1"/>
  <c r="AE28" i="4"/>
  <c r="AG32" i="4"/>
  <c r="AC32" i="4"/>
  <c r="AI32" i="4" s="1"/>
  <c r="AE32" i="4"/>
  <c r="AG37" i="4"/>
  <c r="AC37" i="4"/>
  <c r="AI37" i="4" s="1"/>
  <c r="AE37" i="4"/>
  <c r="AC12" i="4"/>
  <c r="AI12" i="4" s="1"/>
  <c r="AG12" i="4"/>
  <c r="AE12" i="4"/>
  <c r="AC18" i="4"/>
  <c r="AI18" i="4" s="1"/>
  <c r="AG18" i="4"/>
  <c r="AE18" i="4"/>
  <c r="S21" i="4"/>
  <c r="S36" i="4"/>
  <c r="AH19" i="4"/>
  <c r="AD19" i="4"/>
  <c r="AJ19" i="4" s="1"/>
  <c r="AF19" i="4"/>
  <c r="AF27" i="4"/>
  <c r="AD27" i="4"/>
  <c r="AJ27" i="4" s="1"/>
  <c r="AH27" i="4"/>
  <c r="AH17" i="4"/>
  <c r="AD17" i="4"/>
  <c r="AJ17" i="4" s="1"/>
  <c r="AF17" i="4"/>
  <c r="AD15" i="4"/>
  <c r="AJ15" i="4" s="1"/>
  <c r="AH15" i="4"/>
  <c r="AF15" i="4"/>
  <c r="S37" i="4"/>
  <c r="AF26" i="4"/>
  <c r="AH26" i="4"/>
  <c r="AD26" i="4"/>
  <c r="AJ26" i="4" s="1"/>
  <c r="AF10" i="4"/>
  <c r="AH10" i="4"/>
  <c r="AD10" i="4"/>
  <c r="AJ10" i="4" s="1"/>
  <c r="S28" i="4"/>
  <c r="AG29" i="4"/>
  <c r="AC29" i="4"/>
  <c r="AI29" i="4" s="1"/>
  <c r="AE29" i="4"/>
  <c r="AG33" i="4"/>
  <c r="AC33" i="4"/>
  <c r="AI33" i="4" s="1"/>
  <c r="AE33" i="4"/>
  <c r="AG38" i="4"/>
  <c r="AC38" i="4"/>
  <c r="AI38" i="4" s="1"/>
  <c r="AE38" i="4"/>
  <c r="AC14" i="4"/>
  <c r="AI14" i="4" s="1"/>
  <c r="AG14" i="4"/>
  <c r="AE14" i="4"/>
  <c r="AD39" i="4"/>
  <c r="AJ39" i="4" s="1"/>
  <c r="AH39" i="4"/>
  <c r="AF39" i="4"/>
  <c r="S23" i="4"/>
  <c r="S29" i="4"/>
  <c r="S38" i="4"/>
  <c r="AF30" i="4"/>
  <c r="AH30" i="4"/>
  <c r="AD30" i="4"/>
  <c r="AJ30" i="4" s="1"/>
  <c r="S39" i="4"/>
  <c r="AH13" i="4"/>
  <c r="AD13" i="4"/>
  <c r="AJ13" i="4" s="1"/>
  <c r="AF13" i="4"/>
  <c r="AG36" i="4"/>
  <c r="AC36" i="4"/>
  <c r="AI36" i="4" s="1"/>
  <c r="AE36" i="4"/>
  <c r="AC16" i="4"/>
  <c r="AI16" i="4" s="1"/>
  <c r="AG16" i="4"/>
  <c r="AE16" i="4"/>
  <c r="AD7" i="4"/>
  <c r="AJ7" i="4" s="1"/>
  <c r="AF7" i="4"/>
  <c r="AH7" i="4"/>
  <c r="AD18" i="4"/>
  <c r="AJ18" i="4" s="1"/>
  <c r="AH18" i="4"/>
  <c r="AF18" i="4"/>
  <c r="AH21" i="4"/>
  <c r="AD21" i="4"/>
  <c r="AJ21" i="4" s="1"/>
  <c r="AF21" i="4"/>
  <c r="AH11" i="4"/>
  <c r="AD11" i="4"/>
  <c r="AJ11" i="4" s="1"/>
  <c r="AF11" i="4"/>
  <c r="AG7" i="4"/>
  <c r="AC7" i="4"/>
  <c r="AI7" i="4" s="1"/>
  <c r="AE7" i="4"/>
  <c r="AG11" i="4"/>
  <c r="AC11" i="4"/>
  <c r="AI11" i="4" s="1"/>
  <c r="AE11" i="4"/>
  <c r="AG13" i="4"/>
  <c r="AC13" i="4"/>
  <c r="AI13" i="4" s="1"/>
  <c r="AE13" i="4"/>
  <c r="AG22" i="4"/>
  <c r="AC22" i="4"/>
  <c r="AI22" i="4" s="1"/>
  <c r="AE22" i="4"/>
  <c r="AC9" i="4"/>
  <c r="AI9" i="4" s="1"/>
  <c r="AG9" i="4"/>
  <c r="AE9" i="4"/>
  <c r="S24" i="4"/>
  <c r="S30" i="4"/>
  <c r="S9" i="4"/>
  <c r="AF35" i="4"/>
  <c r="AH35" i="4"/>
  <c r="AD35" i="4"/>
  <c r="AJ35" i="4" s="1"/>
  <c r="S14" i="4"/>
  <c r="AF29" i="4"/>
  <c r="AD29" i="4"/>
  <c r="AJ29" i="4" s="1"/>
  <c r="AH29" i="4"/>
  <c r="AF28" i="4"/>
  <c r="AH28" i="4"/>
  <c r="AD28" i="4"/>
  <c r="AJ28" i="4" s="1"/>
  <c r="AG31" i="4"/>
  <c r="AC31" i="4"/>
  <c r="AI31" i="4" s="1"/>
  <c r="AE31" i="4"/>
  <c r="AG24" i="4"/>
  <c r="AC24" i="4"/>
  <c r="AI24" i="4" s="1"/>
  <c r="AE24" i="4"/>
  <c r="AD14" i="4"/>
  <c r="AJ14" i="4" s="1"/>
  <c r="AH14" i="4"/>
  <c r="AF14" i="4"/>
  <c r="AF9" i="4"/>
  <c r="AD9" i="4"/>
  <c r="AJ9" i="4" s="1"/>
  <c r="AH9" i="4"/>
  <c r="AG26" i="4"/>
  <c r="AC26" i="4"/>
  <c r="AI26" i="4" s="1"/>
  <c r="AE26" i="4"/>
  <c r="AG30" i="4"/>
  <c r="AC30" i="4"/>
  <c r="AI30" i="4" s="1"/>
  <c r="AE30" i="4"/>
  <c r="AG35" i="4"/>
  <c r="AC35" i="4"/>
  <c r="AI35" i="4" s="1"/>
  <c r="AE35" i="4"/>
  <c r="AC15" i="4"/>
  <c r="AI15" i="4" s="1"/>
  <c r="AG15" i="4"/>
  <c r="AE15" i="4"/>
  <c r="AG10" i="4"/>
  <c r="AC10" i="4"/>
  <c r="AI10" i="4" s="1"/>
  <c r="AE10" i="4"/>
  <c r="AD12" i="4"/>
  <c r="AJ12" i="4" s="1"/>
  <c r="AH12" i="4"/>
  <c r="AF12" i="4"/>
  <c r="S17" i="4"/>
  <c r="S31" i="4"/>
  <c r="S11" i="4"/>
  <c r="AH23" i="4"/>
  <c r="AD23" i="4"/>
  <c r="AJ23" i="4" s="1"/>
  <c r="AF23" i="4"/>
  <c r="S15" i="4"/>
  <c r="AF33" i="4"/>
  <c r="AD33" i="4"/>
  <c r="AJ33" i="4" s="1"/>
  <c r="AH33" i="4"/>
  <c r="AF32" i="4"/>
  <c r="AH32" i="4"/>
  <c r="AD32" i="4"/>
  <c r="AJ32" i="4" s="1"/>
  <c r="AC39" i="4"/>
  <c r="AI39" i="4" s="1"/>
  <c r="AE39" i="4"/>
  <c r="AG39" i="4"/>
  <c r="S19" i="4"/>
  <c r="AH22" i="4"/>
  <c r="AD22" i="4"/>
  <c r="AJ22" i="4" s="1"/>
  <c r="AF22" i="4"/>
  <c r="AG21" i="4"/>
  <c r="AC21" i="4"/>
  <c r="AI21" i="4" s="1"/>
  <c r="AE21" i="4"/>
  <c r="AG17" i="4"/>
  <c r="AC17" i="4"/>
  <c r="AI17" i="4" s="1"/>
  <c r="AE17" i="4"/>
  <c r="AG23" i="4"/>
  <c r="AC23" i="4"/>
  <c r="AI23" i="4" s="1"/>
  <c r="AE23" i="4"/>
  <c r="S13" i="4"/>
  <c r="S12" i="4"/>
  <c r="S32" i="4"/>
  <c r="AE8" i="4"/>
  <c r="AG8" i="4"/>
  <c r="AC8" i="4"/>
  <c r="AI8" i="4" s="1"/>
  <c r="AH24" i="4"/>
  <c r="AD24" i="4"/>
  <c r="AJ24" i="4" s="1"/>
  <c r="AF24" i="4"/>
  <c r="AF38" i="4"/>
  <c r="AH38" i="4"/>
  <c r="AD38" i="4"/>
  <c r="AJ38" i="4" s="1"/>
  <c r="AF37" i="4"/>
  <c r="AH37" i="4"/>
  <c r="AD37" i="4"/>
  <c r="AJ37" i="4" s="1"/>
  <c r="AF31" i="4"/>
  <c r="AH31" i="4"/>
  <c r="AD31" i="4"/>
  <c r="AJ31" i="4" s="1"/>
  <c r="X29" i="10" l="1"/>
  <c r="W29" i="10"/>
  <c r="X9" i="10"/>
  <c r="W9" i="10"/>
  <c r="Y22" i="4"/>
  <c r="V23" i="4"/>
  <c r="X9" i="4"/>
  <c r="W9" i="4"/>
  <c r="AF16" i="4"/>
  <c r="AH16" i="4"/>
  <c r="V37" i="4"/>
  <c r="W28" i="4"/>
  <c r="X28" i="4"/>
  <c r="V10" i="10" l="1"/>
  <c r="Y9" i="10"/>
  <c r="V30" i="10"/>
  <c r="Y29" i="10"/>
  <c r="V10" i="4"/>
  <c r="Y9" i="4"/>
  <c r="X23" i="4"/>
  <c r="W23" i="4"/>
  <c r="Y23" i="4" s="1"/>
  <c r="W37" i="4"/>
  <c r="Y28" i="4"/>
  <c r="V29" i="4"/>
  <c r="X30" i="10" l="1"/>
  <c r="W30" i="10"/>
  <c r="W10" i="10"/>
  <c r="X10" i="10"/>
  <c r="X10" i="4"/>
  <c r="W10" i="4"/>
  <c r="V38" i="4"/>
  <c r="X29" i="4"/>
  <c r="W29" i="4"/>
  <c r="Y30" i="10" l="1"/>
  <c r="V31" i="10"/>
  <c r="V11" i="10"/>
  <c r="Y10" i="10"/>
  <c r="V11" i="4"/>
  <c r="Y10" i="4"/>
  <c r="W38" i="4"/>
  <c r="Y29" i="4"/>
  <c r="V30" i="4"/>
  <c r="X31" i="10" l="1"/>
  <c r="W31" i="10"/>
  <c r="X11" i="10"/>
  <c r="W11" i="10"/>
  <c r="W11" i="4"/>
  <c r="X11" i="4"/>
  <c r="V39" i="4"/>
  <c r="X30" i="4"/>
  <c r="W30" i="4"/>
  <c r="V12" i="10" l="1"/>
  <c r="Y11" i="10"/>
  <c r="V32" i="10"/>
  <c r="Y31" i="10"/>
  <c r="V12" i="4"/>
  <c r="Y11" i="4"/>
  <c r="W39" i="4"/>
  <c r="V31" i="4"/>
  <c r="Y30" i="4"/>
  <c r="W32" i="10" l="1"/>
  <c r="X32" i="10"/>
  <c r="X12" i="10"/>
  <c r="W12" i="10"/>
  <c r="X12" i="4"/>
  <c r="W12" i="4"/>
  <c r="X31" i="4"/>
  <c r="W31" i="4"/>
  <c r="V13" i="10" l="1"/>
  <c r="Y12" i="10"/>
  <c r="V33" i="10"/>
  <c r="Y32" i="10"/>
  <c r="V13" i="4"/>
  <c r="Y12" i="4"/>
  <c r="V32" i="4"/>
  <c r="Y31" i="4"/>
  <c r="X33" i="10" l="1"/>
  <c r="W33" i="10"/>
  <c r="Y33" i="10" s="1"/>
  <c r="X13" i="10"/>
  <c r="W13" i="10"/>
  <c r="W13" i="4"/>
  <c r="X13" i="4"/>
  <c r="X32" i="4"/>
  <c r="W32" i="4"/>
  <c r="V14" i="10" l="1"/>
  <c r="Y13" i="10"/>
  <c r="V14" i="4"/>
  <c r="Y13" i="4"/>
  <c r="Y32" i="4"/>
  <c r="V33" i="4"/>
  <c r="X14" i="10" l="1"/>
  <c r="W14" i="10"/>
  <c r="W14" i="4"/>
  <c r="X14" i="4"/>
  <c r="X33" i="4"/>
  <c r="W33" i="4"/>
  <c r="Y33" i="4" s="1"/>
  <c r="V15" i="10" l="1"/>
  <c r="Y14" i="10"/>
  <c r="V15" i="4"/>
  <c r="Y14" i="4"/>
  <c r="W15" i="10" l="1"/>
  <c r="X15" i="10"/>
  <c r="W15" i="4"/>
  <c r="X15" i="4"/>
  <c r="V16" i="10" l="1"/>
  <c r="Y15" i="10"/>
  <c r="Y15" i="4"/>
  <c r="V16" i="4"/>
  <c r="X16" i="10" l="1"/>
  <c r="W16" i="10"/>
  <c r="W16" i="4"/>
  <c r="X16" i="4"/>
  <c r="Y16" i="10" l="1"/>
  <c r="V17" i="10"/>
  <c r="V17" i="4"/>
  <c r="Y16" i="4"/>
  <c r="W17" i="10" l="1"/>
  <c r="Y17" i="10" s="1"/>
  <c r="X17" i="10"/>
  <c r="X17" i="4"/>
  <c r="W17" i="4"/>
  <c r="Y1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Ary Vinicius Frigeri</author>
    <author>Allan</author>
    <author>tc={B1E719BB-1C89-41C9-9F41-DB6384F9F00F}</author>
  </authors>
  <commentList>
    <comment ref="V4" authorId="0" shapeId="0" xr:uid="{FD91A89B-2C5A-49F8-87BB-437672F37689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Profundidade até o topo da canalização
</t>
        </r>
      </text>
    </comment>
    <comment ref="X4" authorId="0" shapeId="0" xr:uid="{3BD32B68-F9F9-48A0-88E7-3791EE80E1BE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Cota de topo</t>
        </r>
      </text>
    </comment>
    <comment ref="N6" authorId="1" shapeId="0" xr:uid="{FB4F8C19-84E2-485D-A49A-63C7E4BA50A7}">
      <text>
        <r>
          <rPr>
            <b/>
            <sz val="9"/>
            <color indexed="81"/>
            <rFont val="Segoe UI"/>
            <family val="2"/>
          </rPr>
          <t>Allan:</t>
        </r>
        <r>
          <rPr>
            <sz val="9"/>
            <color indexed="81"/>
            <rFont val="Segoe UI"/>
            <family val="2"/>
          </rPr>
          <t xml:space="preserve">
Se a celula está verde o diâmetro adotado é maior que o cálculado</t>
        </r>
      </text>
    </comment>
    <comment ref="O6" authorId="0" shapeId="0" xr:uid="{60C3415E-10EC-45D6-A588-C491FCBC94A9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Mesma inclinação que o terreno</t>
        </r>
      </text>
    </comment>
    <comment ref="S6" authorId="2" shapeId="0" xr:uid="{B1E719BB-1C89-41C9-9F41-DB6384F9F00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Verificar Declividade minima de acordo com portugal
Responder:
    solucionado. Olhar celular no canto esquerdo inferior</t>
      </text>
    </comment>
    <comment ref="AH6" authorId="1" shapeId="0" xr:uid="{3141E15D-A858-401C-A87E-CA2CF1D81A68}">
      <text>
        <r>
          <rPr>
            <b/>
            <sz val="9"/>
            <color indexed="81"/>
            <rFont val="Segoe UI"/>
            <family val="2"/>
          </rPr>
          <t>Allan:</t>
        </r>
        <r>
          <rPr>
            <sz val="9"/>
            <color indexed="81"/>
            <rFont val="Segoe UI"/>
            <family val="2"/>
          </rPr>
          <t xml:space="preserve">
Se a célula está verde a velocidade é menor que a máxima de 5 m/s.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Ary Vinicius Frigeri</author>
    <author>Allan</author>
    <author>tc={8A4C5877-D552-4512-B6BB-BF9C3E074E4F}</author>
  </authors>
  <commentList>
    <comment ref="V4" authorId="0" shapeId="0" xr:uid="{91A7D4DA-7599-4805-9B2C-EC0418736E67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Profundidade até o topo da canalização
</t>
        </r>
      </text>
    </comment>
    <comment ref="X4" authorId="0" shapeId="0" xr:uid="{262000B7-F1C6-4C0A-8B52-26EA3A1C7D66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Cota de topo</t>
        </r>
      </text>
    </comment>
    <comment ref="N6" authorId="1" shapeId="0" xr:uid="{3BF63FE2-7EE2-4102-A87E-B2AE9FB4ADEF}">
      <text>
        <r>
          <rPr>
            <b/>
            <sz val="9"/>
            <color indexed="81"/>
            <rFont val="Segoe UI"/>
            <family val="2"/>
          </rPr>
          <t>Allan:</t>
        </r>
        <r>
          <rPr>
            <sz val="9"/>
            <color indexed="81"/>
            <rFont val="Segoe UI"/>
            <family val="2"/>
          </rPr>
          <t xml:space="preserve">
Se a celula está verde o diâmetro adotado é maior que o cálculado</t>
        </r>
      </text>
    </comment>
    <comment ref="O6" authorId="0" shapeId="0" xr:uid="{756CF5ED-733D-453A-A4B9-5BD83EC198ED}">
      <text>
        <r>
          <rPr>
            <b/>
            <sz val="9"/>
            <color indexed="81"/>
            <rFont val="Segoe UI"/>
            <family val="2"/>
          </rPr>
          <t>Ary Vinicius Frigeri:</t>
        </r>
        <r>
          <rPr>
            <sz val="9"/>
            <color indexed="81"/>
            <rFont val="Segoe UI"/>
            <family val="2"/>
          </rPr>
          <t xml:space="preserve">
Mesma inclinação que o terreno</t>
        </r>
      </text>
    </comment>
    <comment ref="S6" authorId="2" shapeId="0" xr:uid="{8A4C5877-D552-4512-B6BB-BF9C3E074E4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Verificar Declividade minima de acordo com portugal
Responder:
    solucionado. Olhar celular no canto esquerdo inferior</t>
      </text>
    </comment>
    <comment ref="AH6" authorId="1" shapeId="0" xr:uid="{2BEB4701-4BB0-48BE-80E9-1ABB839E7722}">
      <text>
        <r>
          <rPr>
            <b/>
            <sz val="9"/>
            <color indexed="81"/>
            <rFont val="Segoe UI"/>
            <family val="2"/>
          </rPr>
          <t>Allan:</t>
        </r>
        <r>
          <rPr>
            <sz val="9"/>
            <color indexed="81"/>
            <rFont val="Segoe UI"/>
            <family val="2"/>
          </rPr>
          <t xml:space="preserve">
Se a célula está verde a velocidade é menor que a máxima de 5 m/s.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<sst xmlns="http://schemas.openxmlformats.org/spreadsheetml/2006/main" count="475" uniqueCount="197">
  <si>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</si>
  <si>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</si>
  <si>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</si>
  <si>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</si>
  <si>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</si>
  <si>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</si>
  <si>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</si>
  <si>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</si>
  <si>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</si>
  <si>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</si>
  <si>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</si>
  <si>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</si>
  <si>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</si>
  <si>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Trecho</t>
  </si>
  <si>
    <t>Aparelho</t>
  </si>
  <si>
    <t>Cota do Terreno (m)</t>
  </si>
  <si>
    <t>Declividade</t>
  </si>
  <si>
    <t>Profundidade (m)</t>
  </si>
  <si>
    <t>Diâmetro (mm)</t>
  </si>
  <si>
    <t>Raio Hidráulico (m)</t>
  </si>
  <si>
    <t>h/D</t>
  </si>
  <si>
    <t>Velocidades (m/s)</t>
  </si>
  <si>
    <t>Tensão Trativa (Pa)</t>
  </si>
  <si>
    <t>Início do Trecho</t>
  </si>
  <si>
    <t>Fim do Trecho</t>
  </si>
  <si>
    <t>Início de Projeto - Adotada</t>
  </si>
  <si>
    <t>Fim de Projeto - Adotada</t>
  </si>
  <si>
    <t>Adotada</t>
  </si>
  <si>
    <t>Calculado</t>
  </si>
  <si>
    <t>Adotado</t>
  </si>
  <si>
    <t>Início de Projeto</t>
  </si>
  <si>
    <t>Fim de Projeto</t>
  </si>
  <si>
    <t xml:space="preserve">Fim de projeto </t>
  </si>
  <si>
    <t>Comprimento Total</t>
  </si>
  <si>
    <t>Vazão inicial</t>
  </si>
  <si>
    <t>Vazão final</t>
  </si>
  <si>
    <t>Taxa de infiltração</t>
  </si>
  <si>
    <t>Vazão métrica inicial</t>
  </si>
  <si>
    <t>Vazão métrica final</t>
  </si>
  <si>
    <t>Pop. 2018</t>
  </si>
  <si>
    <t>Pop. 2038</t>
  </si>
  <si>
    <t>Área Total (km²)</t>
  </si>
  <si>
    <t>Cota de topo da canalização (m)</t>
  </si>
  <si>
    <t>Mínimo</t>
  </si>
  <si>
    <t>C:\Anaconda3</t>
  </si>
  <si>
    <t>Dimenstionamento</t>
  </si>
  <si>
    <t>Max</t>
  </si>
  <si>
    <r>
      <t>i</t>
    </r>
    <r>
      <rPr>
        <vertAlign val="subscript"/>
        <sz val="14"/>
        <color theme="1"/>
        <rFont val="Calibri"/>
        <family val="2"/>
        <scheme val="minor"/>
      </rPr>
      <t>minh</t>
    </r>
  </si>
  <si>
    <r>
      <t>i</t>
    </r>
    <r>
      <rPr>
        <vertAlign val="subscript"/>
        <sz val="14"/>
        <color theme="1"/>
        <rFont val="Calibri"/>
        <family val="2"/>
        <scheme val="minor"/>
      </rPr>
      <t>minv</t>
    </r>
  </si>
  <si>
    <r>
      <t>i</t>
    </r>
    <r>
      <rPr>
        <vertAlign val="subscript"/>
        <sz val="14"/>
        <color theme="1"/>
        <rFont val="Calibri"/>
        <family val="2"/>
        <scheme val="minor"/>
      </rPr>
      <t>maxv</t>
    </r>
  </si>
  <si>
    <t>iminR</t>
  </si>
  <si>
    <t>imaxR</t>
  </si>
  <si>
    <t>VminR</t>
  </si>
  <si>
    <t>VmaxR</t>
  </si>
  <si>
    <t>m/s</t>
  </si>
  <si>
    <t>Mín</t>
  </si>
  <si>
    <t>θ (rad)</t>
  </si>
  <si>
    <t>Ks</t>
  </si>
  <si>
    <t>PEAD</t>
  </si>
  <si>
    <t>h/d max</t>
  </si>
  <si>
    <t>Comprimento plano do Trecho (m)</t>
  </si>
  <si>
    <t>Inicio</t>
  </si>
  <si>
    <t>Final</t>
  </si>
  <si>
    <t>Nome</t>
  </si>
  <si>
    <t>CT1-1</t>
  </si>
  <si>
    <t>CT1-2</t>
  </si>
  <si>
    <t>CT1-3</t>
  </si>
  <si>
    <t>CT1-4</t>
  </si>
  <si>
    <t>CV-1</t>
  </si>
  <si>
    <t>CV-2</t>
  </si>
  <si>
    <t>CV-3</t>
  </si>
  <si>
    <t>CV-4</t>
  </si>
  <si>
    <t>CV-5</t>
  </si>
  <si>
    <t>Cobertura mínima</t>
  </si>
  <si>
    <t>Cobertura máxima</t>
  </si>
  <si>
    <t>Cobertura inicial</t>
  </si>
  <si>
    <t>Cobertura final</t>
  </si>
  <si>
    <t>CT1-5</t>
  </si>
  <si>
    <t>CV-6</t>
  </si>
  <si>
    <t>CT1-6</t>
  </si>
  <si>
    <t>CV-7</t>
  </si>
  <si>
    <t>CT1-7</t>
  </si>
  <si>
    <t>CV-8</t>
  </si>
  <si>
    <t>CT1-8</t>
  </si>
  <si>
    <t>CV-9</t>
  </si>
  <si>
    <t>CV-10</t>
  </si>
  <si>
    <t>CV-11</t>
  </si>
  <si>
    <t>CV-12</t>
  </si>
  <si>
    <t>CV-13</t>
  </si>
  <si>
    <t>CV-14</t>
  </si>
  <si>
    <t>CV-15</t>
  </si>
  <si>
    <t>CV-16</t>
  </si>
  <si>
    <t>CV-17</t>
  </si>
  <si>
    <t>CV-18</t>
  </si>
  <si>
    <t>CV-19</t>
  </si>
  <si>
    <t>PV_ini</t>
  </si>
  <si>
    <t>PV_end</t>
  </si>
  <si>
    <t>DN</t>
  </si>
  <si>
    <t>Elev_ini</t>
  </si>
  <si>
    <t>Elev_end</t>
  </si>
  <si>
    <t>Inc</t>
  </si>
  <si>
    <t>Comp_plano</t>
  </si>
  <si>
    <t>Comp_incli</t>
  </si>
  <si>
    <t>N</t>
  </si>
  <si>
    <t>E</t>
  </si>
  <si>
    <t>H</t>
  </si>
  <si>
    <t>Entrada</t>
  </si>
  <si>
    <t>Noe</t>
  </si>
  <si>
    <t>CT3-1</t>
  </si>
  <si>
    <t>CT3-2</t>
  </si>
  <si>
    <t>CT3-3</t>
  </si>
  <si>
    <t>CT3-4</t>
  </si>
  <si>
    <t>CT3-5</t>
  </si>
  <si>
    <t>CT3-6</t>
  </si>
  <si>
    <t>CT3-7</t>
  </si>
  <si>
    <t>CV-20</t>
  </si>
  <si>
    <t>CT2-3</t>
  </si>
  <si>
    <t>CT2-2</t>
  </si>
  <si>
    <t>CT2-1</t>
  </si>
  <si>
    <t>Norte de inserção</t>
  </si>
  <si>
    <t>Leste de inserção</t>
  </si>
  <si>
    <t>Elevação de insterção da tapa do dispositivo</t>
  </si>
  <si>
    <t>Infiltração</t>
  </si>
  <si>
    <t>m³/dia.cm.Km</t>
  </si>
  <si>
    <t>Q_coletor - Inicio</t>
  </si>
  <si>
    <t>Q_coletor - fim</t>
  </si>
  <si>
    <t>Qinf</t>
  </si>
  <si>
    <t>Vazão dimensionamento (L/s)</t>
  </si>
  <si>
    <t>CV-21</t>
  </si>
  <si>
    <t>CT1-9</t>
  </si>
  <si>
    <t>CV-24</t>
  </si>
  <si>
    <t>CT1-10</t>
  </si>
  <si>
    <t>CV-26</t>
  </si>
  <si>
    <t>CT1-11</t>
  </si>
  <si>
    <t>CV-27</t>
  </si>
  <si>
    <t>CT1-12</t>
  </si>
  <si>
    <t>CV-29</t>
  </si>
  <si>
    <t>CT1-13</t>
  </si>
  <si>
    <t>CV-30</t>
  </si>
  <si>
    <t>CV-36</t>
  </si>
  <si>
    <t>CV-39</t>
  </si>
  <si>
    <t>CV-34</t>
  </si>
  <si>
    <t>CV-32</t>
  </si>
  <si>
    <t>CT2-4</t>
  </si>
  <si>
    <t>CV-40</t>
  </si>
  <si>
    <t>CV-41</t>
  </si>
  <si>
    <t>CV-43</t>
  </si>
  <si>
    <t>CV-44</t>
  </si>
  <si>
    <t>CV-46</t>
  </si>
  <si>
    <t>CV-48</t>
  </si>
  <si>
    <t>CV-49</t>
  </si>
  <si>
    <t>CV-50</t>
  </si>
  <si>
    <t>CT3-8</t>
  </si>
  <si>
    <t>CV-51</t>
  </si>
  <si>
    <t>CT4-1</t>
  </si>
  <si>
    <t>CT4-2</t>
  </si>
  <si>
    <t>CT4-3</t>
  </si>
  <si>
    <t>CT4-4</t>
  </si>
  <si>
    <t>CT4-5</t>
  </si>
  <si>
    <t>SC-1</t>
  </si>
  <si>
    <t>SC-2</t>
  </si>
  <si>
    <t>SC-3</t>
  </si>
  <si>
    <t>SC-4</t>
  </si>
  <si>
    <t>SC-5</t>
  </si>
  <si>
    <t>SC-6</t>
  </si>
  <si>
    <t>SC-7</t>
  </si>
  <si>
    <t>CV-22</t>
  </si>
  <si>
    <t>CV-23</t>
  </si>
  <si>
    <t>SC-8</t>
  </si>
  <si>
    <t>SC-9</t>
  </si>
  <si>
    <t>CV-25</t>
  </si>
  <si>
    <t>SC-10</t>
  </si>
  <si>
    <t>CV-28</t>
  </si>
  <si>
    <t>SC-11</t>
  </si>
  <si>
    <t>CV-31</t>
  </si>
  <si>
    <t>SC-12</t>
  </si>
  <si>
    <t>CV-33</t>
  </si>
  <si>
    <t>SC-13</t>
  </si>
  <si>
    <t>CV-35</t>
  </si>
  <si>
    <t>SC-14</t>
  </si>
  <si>
    <t>CV-37</t>
  </si>
  <si>
    <t>SC-15</t>
  </si>
  <si>
    <t>CV-38</t>
  </si>
  <si>
    <t>SC-16</t>
  </si>
  <si>
    <t>CV-42</t>
  </si>
  <si>
    <t>SC-17</t>
  </si>
  <si>
    <t>CV-45</t>
  </si>
  <si>
    <t>SC-18</t>
  </si>
  <si>
    <t>CV-47</t>
  </si>
  <si>
    <t>Theta is higher than 2*pi, paramters error</t>
  </si>
  <si>
    <t>L/s cm Km</t>
  </si>
  <si>
    <t>Terreno</t>
  </si>
  <si>
    <t>Implantação dos coletores</t>
  </si>
  <si>
    <t>Vazão de seção cheia p/ verificação de escoamento. Art 133</t>
  </si>
  <si>
    <t>Verificação do escoamento</t>
  </si>
  <si>
    <t>Residual</t>
  </si>
  <si>
    <t>Pluvial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</si>
</sst>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0.0000"/>
    <numFmt numFmtId="166" formatCode="0.000%"/>
    <numFmt numFmtId="167" formatCode="0.000"/>
    <numFmt numFmtId="168" formatCode="0.0%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8" fillId="0" borderId="0" xfId="1"/>
    <xf numFmtId="0" fontId="8" fillId="0" borderId="0" xfId="1" applyAlignment="1">
      <alignment horizontal="center"/>
    </xf>
    <xf numFmtId="10" fontId="0" fillId="0" borderId="0" xfId="2" applyNumberFormat="1" applyFont="1" applyBorder="1" applyAlignment="1">
      <alignment horizontal="center"/>
    </xf>
    <xf numFmtId="2" fontId="0" fillId="0" borderId="0" xfId="2" applyNumberFormat="1" applyFont="1" applyBorder="1" applyAlignment="1">
      <alignment horizontal="center"/>
    </xf>
    <xf numFmtId="166" fontId="8" fillId="0" borderId="0" xfId="2" applyNumberFormat="1" applyFont="1" applyBorder="1" applyAlignment="1">
      <alignment horizontal="center"/>
    </xf>
    <xf numFmtId="9" fontId="8" fillId="0" borderId="0" xfId="2" applyFont="1" applyBorder="1" applyAlignment="1">
      <alignment horizontal="center" vertical="center"/>
    </xf>
    <xf numFmtId="166" fontId="8" fillId="0" borderId="0" xfId="2" applyNumberFormat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5" fontId="8" fillId="0" borderId="0" xfId="1" applyNumberFormat="1"/>
    <xf numFmtId="0" fontId="8" fillId="0" borderId="1" xfId="1" applyBorder="1"/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8" fillId="0" borderId="0" xfId="1" applyBorder="1" applyAlignment="1">
      <alignment horizontal="center" vertical="center" wrapText="1"/>
    </xf>
    <xf numFmtId="0" fontId="8" fillId="0" borderId="0" xfId="1" applyBorder="1"/>
    <xf numFmtId="2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165" fontId="8" fillId="0" borderId="1" xfId="1" applyNumberFormat="1" applyBorder="1" applyAlignment="1">
      <alignment horizontal="center" vertical="center"/>
    </xf>
    <xf numFmtId="0" fontId="8" fillId="0" borderId="7" xfId="1" applyBorder="1"/>
    <xf numFmtId="2" fontId="8" fillId="0" borderId="8" xfId="1" applyNumberFormat="1" applyBorder="1" applyAlignment="1">
      <alignment horizontal="center" vertical="center"/>
    </xf>
    <xf numFmtId="0" fontId="8" fillId="0" borderId="9" xfId="1" applyBorder="1" applyAlignment="1">
      <alignment horizontal="center" vertical="center"/>
    </xf>
    <xf numFmtId="0" fontId="8" fillId="0" borderId="10" xfId="1" applyBorder="1"/>
    <xf numFmtId="0" fontId="8" fillId="0" borderId="11" xfId="1" applyBorder="1" applyAlignment="1">
      <alignment horizontal="center" vertical="center"/>
    </xf>
    <xf numFmtId="0" fontId="8" fillId="0" borderId="12" xfId="1" applyBorder="1"/>
    <xf numFmtId="165" fontId="8" fillId="0" borderId="13" xfId="1" applyNumberFormat="1" applyBorder="1" applyAlignment="1">
      <alignment horizontal="center" vertical="center"/>
    </xf>
    <xf numFmtId="0" fontId="8" fillId="0" borderId="14" xfId="1" applyBorder="1" applyAlignment="1">
      <alignment horizontal="center" vertical="center"/>
    </xf>
    <xf numFmtId="9" fontId="8" fillId="0" borderId="1" xfId="4" applyNumberFormat="1" applyFont="1" applyBorder="1" applyAlignment="1">
      <alignment horizontal="center" vertical="center"/>
    </xf>
    <xf numFmtId="164" fontId="8" fillId="0" borderId="1" xfId="1" applyNumberFormat="1" applyBorder="1" applyAlignment="1">
      <alignment horizontal="center" vertical="center"/>
    </xf>
    <xf numFmtId="0" fontId="7" fillId="0" borderId="7" xfId="1" applyFont="1" applyBorder="1"/>
    <xf numFmtId="168" fontId="8" fillId="0" borderId="8" xfId="4" applyNumberFormat="1" applyFont="1" applyBorder="1" applyAlignment="1">
      <alignment horizontal="center" vertical="center"/>
    </xf>
    <xf numFmtId="0" fontId="7" fillId="0" borderId="10" xfId="1" applyFont="1" applyBorder="1"/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/>
    <xf numFmtId="0" fontId="8" fillId="0" borderId="13" xfId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 wrapText="1"/>
    </xf>
    <xf numFmtId="0" fontId="8" fillId="0" borderId="5" xfId="1" applyBorder="1" applyAlignment="1">
      <alignment horizontal="center" vertical="center" wrapText="1"/>
    </xf>
    <xf numFmtId="10" fontId="0" fillId="0" borderId="0" xfId="0" applyNumberFormat="1"/>
    <xf numFmtId="0" fontId="0" fillId="0" borderId="0" xfId="0" applyAlignment="1">
      <alignment horizontal="center"/>
    </xf>
    <xf numFmtId="2" fontId="8" fillId="0" borderId="0" xfId="1" applyNumberFormat="1" applyBorder="1" applyAlignment="1">
      <alignment horizontal="center"/>
    </xf>
    <xf numFmtId="167" fontId="8" fillId="0" borderId="0" xfId="1" applyNumberFormat="1" applyBorder="1" applyAlignment="1">
      <alignment horizontal="center"/>
    </xf>
    <xf numFmtId="0" fontId="8" fillId="0" borderId="17" xfId="1" applyBorder="1" applyAlignment="1">
      <alignment horizontal="center" vertical="center" wrapText="1"/>
    </xf>
    <xf numFmtId="0" fontId="12" fillId="0" borderId="18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 wrapText="1"/>
    </xf>
    <xf numFmtId="0" fontId="8" fillId="0" borderId="19" xfId="1" applyBorder="1" applyAlignment="1">
      <alignment horizontal="center" vertical="center" wrapText="1"/>
    </xf>
    <xf numFmtId="0" fontId="8" fillId="0" borderId="0" xfId="1" applyBorder="1" applyAlignment="1">
      <alignment horizontal="center"/>
    </xf>
    <xf numFmtId="165" fontId="8" fillId="0" borderId="0" xfId="1" applyNumberFormat="1" applyBorder="1" applyAlignment="1">
      <alignment horizontal="center"/>
    </xf>
    <xf numFmtId="0" fontId="8" fillId="0" borderId="6" xfId="1" applyBorder="1"/>
    <xf numFmtId="0" fontId="8" fillId="0" borderId="23" xfId="1" applyBorder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0" fillId="0" borderId="0" xfId="0" applyAlignment="1"/>
    <xf numFmtId="0" fontId="0" fillId="0" borderId="0" xfId="0" applyNumberFormat="1" applyAlignment="1"/>
    <xf numFmtId="0" fontId="8" fillId="0" borderId="18" xfId="1" applyBorder="1" applyAlignment="1">
      <alignment horizontal="center" vertical="center" wrapText="1"/>
    </xf>
    <xf numFmtId="2" fontId="0" fillId="0" borderId="0" xfId="2" applyNumberFormat="1" applyFont="1" applyFill="1" applyBorder="1" applyAlignment="1">
      <alignment horizontal="center"/>
    </xf>
    <xf numFmtId="0" fontId="8" fillId="0" borderId="0" xfId="1" applyFill="1" applyBorder="1"/>
    <xf numFmtId="0" fontId="8" fillId="0" borderId="0" xfId="1" applyFill="1"/>
    <xf numFmtId="0" fontId="2" fillId="0" borderId="22" xfId="1" applyFont="1" applyBorder="1" applyAlignment="1">
      <alignment horizontal="center" vertical="center" wrapText="1"/>
    </xf>
    <xf numFmtId="0" fontId="3" fillId="0" borderId="29" xfId="1" applyFont="1" applyBorder="1" applyAlignment="1">
      <alignment horizontal="center" vertical="center" wrapText="1"/>
    </xf>
    <xf numFmtId="0" fontId="3" fillId="0" borderId="20" xfId="1" applyFont="1" applyBorder="1" applyAlignment="1">
      <alignment horizontal="center" vertical="center" wrapText="1"/>
    </xf>
    <xf numFmtId="167" fontId="8" fillId="0" borderId="1" xfId="1" applyNumberFormat="1" applyBorder="1" applyAlignment="1">
      <alignment horizontal="center" vertical="center"/>
    </xf>
    <xf numFmtId="2" fontId="0" fillId="2" borderId="1" xfId="2" applyNumberFormat="1" applyFont="1" applyFill="1" applyBorder="1" applyAlignment="1">
      <alignment horizontal="center"/>
    </xf>
    <xf numFmtId="10" fontId="0" fillId="2" borderId="1" xfId="2" applyNumberFormat="1" applyFont="1" applyFill="1" applyBorder="1" applyAlignment="1">
      <alignment horizontal="center"/>
    </xf>
    <xf numFmtId="2" fontId="0" fillId="0" borderId="1" xfId="2" applyNumberFormat="1" applyFont="1" applyFill="1" applyBorder="1" applyAlignment="1">
      <alignment horizontal="center"/>
    </xf>
    <xf numFmtId="167" fontId="8" fillId="0" borderId="1" xfId="1" applyNumberFormat="1" applyFill="1" applyBorder="1" applyAlignment="1">
      <alignment horizontal="center" vertical="center"/>
    </xf>
    <xf numFmtId="10" fontId="0" fillId="0" borderId="1" xfId="2" applyNumberFormat="1" applyFont="1" applyFill="1" applyBorder="1" applyAlignment="1">
      <alignment horizontal="center"/>
    </xf>
    <xf numFmtId="167" fontId="8" fillId="3" borderId="1" xfId="1" applyNumberFormat="1" applyFill="1" applyBorder="1" applyAlignment="1">
      <alignment horizontal="center" vertical="center"/>
    </xf>
    <xf numFmtId="0" fontId="5" fillId="0" borderId="32" xfId="1" applyFont="1" applyBorder="1" applyAlignment="1">
      <alignment horizontal="center"/>
    </xf>
    <xf numFmtId="0" fontId="5" fillId="0" borderId="32" xfId="1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 vertical="center"/>
    </xf>
    <xf numFmtId="0" fontId="8" fillId="2" borderId="9" xfId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8" fillId="2" borderId="11" xfId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/>
    </xf>
    <xf numFmtId="0" fontId="8" fillId="0" borderId="11" xfId="1" applyFill="1" applyBorder="1" applyAlignment="1">
      <alignment horizontal="center" vertical="center"/>
    </xf>
    <xf numFmtId="0" fontId="4" fillId="2" borderId="12" xfId="1" applyFont="1" applyFill="1" applyBorder="1" applyAlignment="1">
      <alignment horizontal="center" vertical="center"/>
    </xf>
    <xf numFmtId="0" fontId="8" fillId="2" borderId="14" xfId="1" applyFill="1" applyBorder="1" applyAlignment="1">
      <alignment horizontal="center" vertical="center"/>
    </xf>
    <xf numFmtId="167" fontId="8" fillId="2" borderId="7" xfId="1" applyNumberFormat="1" applyFill="1" applyBorder="1" applyAlignment="1">
      <alignment horizontal="center"/>
    </xf>
    <xf numFmtId="167" fontId="8" fillId="2" borderId="9" xfId="1" applyNumberFormat="1" applyFill="1" applyBorder="1" applyAlignment="1">
      <alignment horizontal="center"/>
    </xf>
    <xf numFmtId="167" fontId="8" fillId="2" borderId="10" xfId="1" applyNumberFormat="1" applyFill="1" applyBorder="1" applyAlignment="1">
      <alignment horizontal="center"/>
    </xf>
    <xf numFmtId="167" fontId="8" fillId="2" borderId="11" xfId="1" applyNumberFormat="1" applyFill="1" applyBorder="1" applyAlignment="1">
      <alignment horizontal="center"/>
    </xf>
    <xf numFmtId="167" fontId="8" fillId="0" borderId="10" xfId="1" applyNumberFormat="1" applyFill="1" applyBorder="1" applyAlignment="1">
      <alignment horizontal="center"/>
    </xf>
    <xf numFmtId="167" fontId="8" fillId="0" borderId="11" xfId="1" applyNumberFormat="1" applyFill="1" applyBorder="1" applyAlignment="1">
      <alignment horizontal="center"/>
    </xf>
    <xf numFmtId="167" fontId="8" fillId="2" borderId="12" xfId="1" applyNumberFormat="1" applyFill="1" applyBorder="1" applyAlignment="1">
      <alignment horizontal="center"/>
    </xf>
    <xf numFmtId="167" fontId="8" fillId="2" borderId="14" xfId="1" applyNumberFormat="1" applyFill="1" applyBorder="1" applyAlignment="1">
      <alignment horizontal="center"/>
    </xf>
    <xf numFmtId="167" fontId="8" fillId="0" borderId="27" xfId="1" applyNumberFormat="1" applyBorder="1" applyAlignment="1">
      <alignment horizontal="center" vertical="center"/>
    </xf>
    <xf numFmtId="167" fontId="8" fillId="0" borderId="27" xfId="1" applyNumberFormat="1" applyFill="1" applyBorder="1" applyAlignment="1">
      <alignment horizontal="center" vertical="center"/>
    </xf>
    <xf numFmtId="167" fontId="8" fillId="3" borderId="27" xfId="1" applyNumberFormat="1" applyFill="1" applyBorder="1" applyAlignment="1">
      <alignment horizontal="center" vertical="center"/>
    </xf>
    <xf numFmtId="2" fontId="8" fillId="2" borderId="15" xfId="1" applyNumberFormat="1" applyFill="1" applyBorder="1" applyAlignment="1">
      <alignment horizontal="center"/>
    </xf>
    <xf numFmtId="2" fontId="8" fillId="2" borderId="16" xfId="1" applyNumberFormat="1" applyFill="1" applyBorder="1" applyAlignment="1">
      <alignment horizontal="center"/>
    </xf>
    <xf numFmtId="2" fontId="8" fillId="0" borderId="16" xfId="1" applyNumberFormat="1" applyFill="1" applyBorder="1" applyAlignment="1">
      <alignment horizontal="center"/>
    </xf>
    <xf numFmtId="2" fontId="8" fillId="2" borderId="33" xfId="1" applyNumberFormat="1" applyFill="1" applyBorder="1" applyAlignment="1">
      <alignment horizontal="center"/>
    </xf>
    <xf numFmtId="167" fontId="8" fillId="0" borderId="32" xfId="1" applyNumberFormat="1" applyBorder="1" applyAlignment="1">
      <alignment horizontal="center" vertical="center"/>
    </xf>
    <xf numFmtId="167" fontId="8" fillId="0" borderId="32" xfId="1" applyNumberFormat="1" applyFill="1" applyBorder="1" applyAlignment="1">
      <alignment horizontal="center" vertical="center"/>
    </xf>
    <xf numFmtId="167" fontId="8" fillId="0" borderId="7" xfId="1" applyNumberFormat="1" applyBorder="1" applyAlignment="1">
      <alignment horizontal="center"/>
    </xf>
    <xf numFmtId="167" fontId="8" fillId="0" borderId="9" xfId="1" applyNumberFormat="1" applyBorder="1" applyAlignment="1">
      <alignment horizontal="center"/>
    </xf>
    <xf numFmtId="167" fontId="8" fillId="0" borderId="10" xfId="1" applyNumberFormat="1" applyBorder="1" applyAlignment="1">
      <alignment horizontal="center"/>
    </xf>
    <xf numFmtId="167" fontId="8" fillId="0" borderId="11" xfId="1" applyNumberFormat="1" applyBorder="1" applyAlignment="1">
      <alignment horizontal="center"/>
    </xf>
    <xf numFmtId="1" fontId="0" fillId="2" borderId="7" xfId="2" applyNumberFormat="1" applyFont="1" applyFill="1" applyBorder="1" applyAlignment="1">
      <alignment horizontal="center"/>
    </xf>
    <xf numFmtId="2" fontId="0" fillId="2" borderId="8" xfId="2" applyNumberFormat="1" applyFont="1" applyFill="1" applyBorder="1" applyAlignment="1">
      <alignment horizontal="center"/>
    </xf>
    <xf numFmtId="1" fontId="8" fillId="0" borderId="9" xfId="1" applyNumberFormat="1" applyBorder="1" applyAlignment="1">
      <alignment horizontal="center"/>
    </xf>
    <xf numFmtId="1" fontId="0" fillId="2" borderId="10" xfId="2" applyNumberFormat="1" applyFont="1" applyFill="1" applyBorder="1" applyAlignment="1">
      <alignment horizontal="center"/>
    </xf>
    <xf numFmtId="1" fontId="8" fillId="0" borderId="11" xfId="1" applyNumberFormat="1" applyBorder="1" applyAlignment="1">
      <alignment horizontal="center"/>
    </xf>
    <xf numFmtId="1" fontId="0" fillId="0" borderId="10" xfId="2" applyNumberFormat="1" applyFont="1" applyFill="1" applyBorder="1" applyAlignment="1">
      <alignment horizontal="center"/>
    </xf>
    <xf numFmtId="1" fontId="8" fillId="0" borderId="11" xfId="1" applyNumberFormat="1" applyFill="1" applyBorder="1" applyAlignment="1">
      <alignment horizontal="center"/>
    </xf>
    <xf numFmtId="1" fontId="0" fillId="2" borderId="12" xfId="2" applyNumberFormat="1" applyFont="1" applyFill="1" applyBorder="1" applyAlignment="1">
      <alignment horizontal="center"/>
    </xf>
    <xf numFmtId="2" fontId="0" fillId="2" borderId="13" xfId="2" applyNumberFormat="1" applyFont="1" applyFill="1" applyBorder="1" applyAlignment="1">
      <alignment horizontal="center"/>
    </xf>
    <xf numFmtId="1" fontId="8" fillId="0" borderId="14" xfId="1" applyNumberFormat="1" applyBorder="1" applyAlignment="1">
      <alignment horizontal="center"/>
    </xf>
    <xf numFmtId="10" fontId="0" fillId="2" borderId="7" xfId="2" applyNumberFormat="1" applyFont="1" applyFill="1" applyBorder="1" applyAlignment="1">
      <alignment horizontal="center"/>
    </xf>
    <xf numFmtId="10" fontId="0" fillId="2" borderId="8" xfId="2" applyNumberFormat="1" applyFont="1" applyFill="1" applyBorder="1" applyAlignment="1">
      <alignment horizontal="center"/>
    </xf>
    <xf numFmtId="10" fontId="0" fillId="0" borderId="9" xfId="2" applyNumberFormat="1" applyFont="1" applyBorder="1" applyAlignment="1">
      <alignment horizontal="center"/>
    </xf>
    <xf numFmtId="10" fontId="0" fillId="2" borderId="10" xfId="2" applyNumberFormat="1" applyFont="1" applyFill="1" applyBorder="1" applyAlignment="1">
      <alignment horizontal="center"/>
    </xf>
    <xf numFmtId="10" fontId="0" fillId="0" borderId="11" xfId="2" applyNumberFormat="1" applyFont="1" applyBorder="1" applyAlignment="1">
      <alignment horizontal="center"/>
    </xf>
    <xf numFmtId="10" fontId="0" fillId="0" borderId="10" xfId="2" applyNumberFormat="1" applyFont="1" applyFill="1" applyBorder="1" applyAlignment="1">
      <alignment horizontal="center"/>
    </xf>
    <xf numFmtId="10" fontId="0" fillId="0" borderId="11" xfId="2" applyNumberFormat="1" applyFont="1" applyFill="1" applyBorder="1" applyAlignment="1">
      <alignment horizontal="center"/>
    </xf>
    <xf numFmtId="10" fontId="0" fillId="2" borderId="12" xfId="2" applyNumberFormat="1" applyFont="1" applyFill="1" applyBorder="1" applyAlignment="1">
      <alignment horizontal="center"/>
    </xf>
    <xf numFmtId="10" fontId="0" fillId="2" borderId="13" xfId="2" applyNumberFormat="1" applyFont="1" applyFill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2" fontId="0" fillId="0" borderId="7" xfId="2" applyNumberFormat="1" applyFont="1" applyFill="1" applyBorder="1" applyAlignment="1">
      <alignment horizontal="center"/>
    </xf>
    <xf numFmtId="2" fontId="0" fillId="2" borderId="9" xfId="2" applyNumberFormat="1" applyFont="1" applyFill="1" applyBorder="1" applyAlignment="1">
      <alignment horizontal="center"/>
    </xf>
    <xf numFmtId="2" fontId="0" fillId="2" borderId="10" xfId="2" applyNumberFormat="1" applyFont="1" applyFill="1" applyBorder="1" applyAlignment="1">
      <alignment horizontal="center"/>
    </xf>
    <xf numFmtId="2" fontId="0" fillId="2" borderId="11" xfId="2" applyNumberFormat="1" applyFont="1" applyFill="1" applyBorder="1" applyAlignment="1">
      <alignment horizontal="center"/>
    </xf>
    <xf numFmtId="2" fontId="0" fillId="0" borderId="10" xfId="2" applyNumberFormat="1" applyFont="1" applyFill="1" applyBorder="1" applyAlignment="1">
      <alignment horizontal="center"/>
    </xf>
    <xf numFmtId="2" fontId="0" fillId="0" borderId="11" xfId="2" applyNumberFormat="1" applyFont="1" applyFill="1" applyBorder="1" applyAlignment="1">
      <alignment horizontal="center"/>
    </xf>
    <xf numFmtId="2" fontId="0" fillId="2" borderId="12" xfId="2" applyNumberFormat="1" applyFont="1" applyFill="1" applyBorder="1" applyAlignment="1">
      <alignment horizontal="center"/>
    </xf>
    <xf numFmtId="2" fontId="0" fillId="2" borderId="14" xfId="2" applyNumberFormat="1" applyFont="1" applyFill="1" applyBorder="1" applyAlignment="1">
      <alignment horizontal="center"/>
    </xf>
    <xf numFmtId="167" fontId="0" fillId="2" borderId="7" xfId="2" applyNumberFormat="1" applyFont="1" applyFill="1" applyBorder="1" applyAlignment="1">
      <alignment horizontal="center"/>
    </xf>
    <xf numFmtId="167" fontId="0" fillId="2" borderId="9" xfId="2" applyNumberFormat="1" applyFont="1" applyFill="1" applyBorder="1" applyAlignment="1">
      <alignment horizontal="center"/>
    </xf>
    <xf numFmtId="167" fontId="0" fillId="2" borderId="10" xfId="2" applyNumberFormat="1" applyFont="1" applyFill="1" applyBorder="1" applyAlignment="1">
      <alignment horizontal="center"/>
    </xf>
    <xf numFmtId="167" fontId="0" fillId="2" borderId="11" xfId="2" applyNumberFormat="1" applyFont="1" applyFill="1" applyBorder="1" applyAlignment="1">
      <alignment horizontal="center"/>
    </xf>
    <xf numFmtId="167" fontId="0" fillId="0" borderId="10" xfId="2" applyNumberFormat="1" applyFont="1" applyFill="1" applyBorder="1" applyAlignment="1">
      <alignment horizontal="center"/>
    </xf>
    <xf numFmtId="167" fontId="0" fillId="0" borderId="11" xfId="2" applyNumberFormat="1" applyFont="1" applyFill="1" applyBorder="1" applyAlignment="1">
      <alignment horizontal="center"/>
    </xf>
    <xf numFmtId="167" fontId="0" fillId="2" borderId="12" xfId="2" applyNumberFormat="1" applyFont="1" applyFill="1" applyBorder="1" applyAlignment="1">
      <alignment horizontal="center"/>
    </xf>
    <xf numFmtId="167" fontId="0" fillId="2" borderId="14" xfId="2" applyNumberFormat="1" applyFont="1" applyFill="1" applyBorder="1" applyAlignment="1">
      <alignment horizontal="center"/>
    </xf>
    <xf numFmtId="165" fontId="0" fillId="2" borderId="7" xfId="2" applyNumberFormat="1" applyFont="1" applyFill="1" applyBorder="1" applyAlignment="1">
      <alignment horizontal="center"/>
    </xf>
    <xf numFmtId="165" fontId="0" fillId="2" borderId="9" xfId="2" applyNumberFormat="1" applyFont="1" applyFill="1" applyBorder="1" applyAlignment="1">
      <alignment horizontal="center"/>
    </xf>
    <xf numFmtId="165" fontId="0" fillId="2" borderId="10" xfId="2" applyNumberFormat="1" applyFont="1" applyFill="1" applyBorder="1" applyAlignment="1">
      <alignment horizontal="center"/>
    </xf>
    <xf numFmtId="165" fontId="0" fillId="2" borderId="11" xfId="2" applyNumberFormat="1" applyFont="1" applyFill="1" applyBorder="1" applyAlignment="1">
      <alignment horizontal="center"/>
    </xf>
    <xf numFmtId="165" fontId="0" fillId="0" borderId="10" xfId="2" applyNumberFormat="1" applyFont="1" applyFill="1" applyBorder="1" applyAlignment="1">
      <alignment horizontal="center"/>
    </xf>
    <xf numFmtId="165" fontId="0" fillId="0" borderId="11" xfId="2" applyNumberFormat="1" applyFont="1" applyFill="1" applyBorder="1" applyAlignment="1">
      <alignment horizontal="center"/>
    </xf>
    <xf numFmtId="165" fontId="0" fillId="2" borderId="12" xfId="2" applyNumberFormat="1" applyFont="1" applyFill="1" applyBorder="1" applyAlignment="1">
      <alignment horizontal="center"/>
    </xf>
    <xf numFmtId="165" fontId="0" fillId="2" borderId="14" xfId="2" applyNumberFormat="1" applyFont="1" applyFill="1" applyBorder="1" applyAlignment="1">
      <alignment horizontal="center"/>
    </xf>
    <xf numFmtId="2" fontId="0" fillId="2" borderId="7" xfId="2" applyNumberFormat="1" applyFont="1" applyFill="1" applyBorder="1" applyAlignment="1">
      <alignment horizontal="center"/>
    </xf>
    <xf numFmtId="0" fontId="0" fillId="0" borderId="0" xfId="0" applyFill="1"/>
    <xf numFmtId="0" fontId="8" fillId="2" borderId="7" xfId="1" applyFill="1" applyBorder="1" applyAlignment="1">
      <alignment horizontal="center"/>
    </xf>
    <xf numFmtId="0" fontId="8" fillId="0" borderId="9" xfId="1" applyBorder="1" applyAlignment="1">
      <alignment horizontal="center"/>
    </xf>
    <xf numFmtId="0" fontId="16" fillId="0" borderId="12" xfId="1" applyFont="1" applyBorder="1" applyAlignment="1">
      <alignment horizontal="center"/>
    </xf>
    <xf numFmtId="0" fontId="16" fillId="0" borderId="14" xfId="1" applyFont="1" applyBorder="1" applyAlignment="1">
      <alignment horizontal="center"/>
    </xf>
    <xf numFmtId="0" fontId="8" fillId="0" borderId="12" xfId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167" fontId="8" fillId="3" borderId="10" xfId="1" applyNumberFormat="1" applyFill="1" applyBorder="1" applyAlignment="1">
      <alignment horizontal="center"/>
    </xf>
    <xf numFmtId="167" fontId="8" fillId="3" borderId="11" xfId="1" applyNumberFormat="1" applyFill="1" applyBorder="1" applyAlignment="1">
      <alignment horizontal="center"/>
    </xf>
    <xf numFmtId="167" fontId="8" fillId="3" borderId="12" xfId="1" applyNumberFormat="1" applyFill="1" applyBorder="1" applyAlignment="1">
      <alignment horizontal="center"/>
    </xf>
    <xf numFmtId="167" fontId="8" fillId="3" borderId="14" xfId="1" applyNumberFormat="1" applyFill="1" applyBorder="1" applyAlignment="1">
      <alignment horizont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167" fontId="8" fillId="0" borderId="12" xfId="1" applyNumberFormat="1" applyFill="1" applyBorder="1" applyAlignment="1">
      <alignment horizontal="center"/>
    </xf>
    <xf numFmtId="167" fontId="8" fillId="0" borderId="14" xfId="1" applyNumberFormat="1" applyFill="1" applyBorder="1" applyAlignment="1">
      <alignment horizontal="center"/>
    </xf>
    <xf numFmtId="165" fontId="8" fillId="0" borderId="0" xfId="1" applyNumberFormat="1" applyBorder="1" applyAlignment="1">
      <alignment horizontal="center" vertical="center"/>
    </xf>
    <xf numFmtId="0" fontId="8" fillId="0" borderId="0" xfId="1" applyBorder="1" applyAlignment="1">
      <alignment horizontal="center" vertical="center"/>
    </xf>
    <xf numFmtId="0" fontId="1" fillId="0" borderId="23" xfId="1" applyFont="1" applyBorder="1" applyAlignment="1">
      <alignment horizontal="center" vertical="center" wrapText="1"/>
    </xf>
    <xf numFmtId="0" fontId="9" fillId="0" borderId="6" xfId="1" applyFont="1" applyBorder="1" applyAlignment="1">
      <alignment horizontal="center"/>
    </xf>
    <xf numFmtId="0" fontId="8" fillId="0" borderId="0" xfId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0" fontId="16" fillId="0" borderId="30" xfId="1" applyFont="1" applyBorder="1" applyAlignment="1">
      <alignment horizontal="center" vertical="center"/>
    </xf>
    <xf numFmtId="0" fontId="16" fillId="0" borderId="31" xfId="1" applyFont="1" applyBorder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8" fillId="3" borderId="2" xfId="1" applyFill="1" applyBorder="1" applyAlignment="1">
      <alignment horizontal="center"/>
    </xf>
    <xf numFmtId="0" fontId="8" fillId="3" borderId="3" xfId="1" applyFill="1" applyBorder="1" applyAlignment="1">
      <alignment horizontal="center"/>
    </xf>
    <xf numFmtId="0" fontId="2" fillId="0" borderId="4" xfId="1" applyFont="1" applyBorder="1" applyAlignment="1">
      <alignment horizontal="left" vertical="top" wrapText="1"/>
    </xf>
    <xf numFmtId="0" fontId="2" fillId="0" borderId="5" xfId="1" applyFont="1" applyBorder="1" applyAlignment="1">
      <alignment horizontal="left" vertical="top" wrapText="1"/>
    </xf>
    <xf numFmtId="0" fontId="2" fillId="0" borderId="34" xfId="1" applyFont="1" applyBorder="1" applyAlignment="1">
      <alignment horizontal="left" vertical="top" wrapText="1"/>
    </xf>
    <xf numFmtId="0" fontId="2" fillId="0" borderId="35" xfId="1" applyFont="1" applyBorder="1" applyAlignment="1">
      <alignment horizontal="left" vertical="top" wrapText="1"/>
    </xf>
    <xf numFmtId="0" fontId="16" fillId="0" borderId="7" xfId="1" applyFont="1" applyBorder="1" applyAlignment="1">
      <alignment horizontal="center" vertical="center"/>
    </xf>
    <xf numFmtId="0" fontId="16" fillId="0" borderId="8" xfId="1" applyFont="1" applyBorder="1" applyAlignment="1">
      <alignment horizontal="center" vertical="center"/>
    </xf>
    <xf numFmtId="0" fontId="16" fillId="0" borderId="9" xfId="1" applyFont="1" applyBorder="1" applyAlignment="1">
      <alignment horizontal="center" vertical="center"/>
    </xf>
    <xf numFmtId="0" fontId="16" fillId="0" borderId="10" xfId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0" fontId="16" fillId="0" borderId="15" xfId="1" applyFont="1" applyBorder="1" applyAlignment="1">
      <alignment horizontal="center" vertical="center" wrapText="1"/>
    </xf>
    <xf numFmtId="0" fontId="16" fillId="0" borderId="16" xfId="1" applyFont="1" applyBorder="1" applyAlignment="1">
      <alignment horizontal="center" vertical="center" wrapText="1"/>
    </xf>
    <xf numFmtId="0" fontId="16" fillId="0" borderId="7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center" vertical="center" wrapText="1"/>
    </xf>
    <xf numFmtId="0" fontId="16" fillId="0" borderId="11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 wrapText="1"/>
    </xf>
    <xf numFmtId="0" fontId="16" fillId="0" borderId="24" xfId="1" applyFont="1" applyBorder="1" applyAlignment="1">
      <alignment horizontal="center" vertical="center" wrapText="1"/>
    </xf>
    <xf numFmtId="0" fontId="16" fillId="0" borderId="20" xfId="1" applyFont="1" applyBorder="1" applyAlignment="1">
      <alignment horizontal="center" vertical="center" wrapText="1"/>
    </xf>
    <xf numFmtId="0" fontId="16" fillId="0" borderId="25" xfId="1" applyFont="1" applyBorder="1" applyAlignment="1">
      <alignment horizontal="center" vertical="center" wrapText="1"/>
    </xf>
    <xf numFmtId="0" fontId="16" fillId="0" borderId="22" xfId="1" applyFont="1" applyBorder="1" applyAlignment="1">
      <alignment horizontal="center" vertical="center" wrapText="1"/>
    </xf>
    <xf numFmtId="0" fontId="16" fillId="0" borderId="21" xfId="1" applyFont="1" applyBorder="1" applyAlignment="1">
      <alignment horizontal="center" vertical="center" wrapText="1"/>
    </xf>
    <xf numFmtId="0" fontId="16" fillId="0" borderId="26" xfId="1" applyFont="1" applyBorder="1" applyAlignment="1">
      <alignment horizontal="center" vertical="center" wrapText="1"/>
    </xf>
    <xf numFmtId="0" fontId="16" fillId="0" borderId="8" xfId="1" applyFont="1" applyBorder="1" applyAlignment="1">
      <alignment horizontal="center" vertical="center" wrapText="1"/>
    </xf>
    <xf numFmtId="0" fontId="16" fillId="0" borderId="27" xfId="1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6" fillId="0" borderId="2" xfId="1" applyFont="1" applyBorder="1" applyAlignment="1">
      <alignment horizontal="center" vertical="center" wrapText="1"/>
    </xf>
    <xf numFmtId="0" fontId="16" fillId="0" borderId="3" xfId="1" applyFont="1" applyBorder="1" applyAlignment="1">
      <alignment horizontal="center" vertical="center" wrapText="1"/>
    </xf>
    <xf numFmtId="0" fontId="16" fillId="0" borderId="30" xfId="1" applyFont="1" applyBorder="1" applyAlignment="1">
      <alignment horizontal="center" vertical="center" wrapText="1"/>
    </xf>
    <xf numFmtId="0" fontId="16" fillId="0" borderId="31" xfId="1" applyFont="1" applyBorder="1" applyAlignment="1">
      <alignment horizontal="center" vertical="center" wrapText="1"/>
    </xf>
    <xf numFmtId="0" fontId="17" fillId="0" borderId="2" xfId="1" applyFont="1" applyBorder="1" applyAlignment="1">
      <alignment horizontal="center" vertical="center"/>
    </xf>
    <xf numFmtId="0" fontId="18" fillId="0" borderId="3" xfId="1" applyFont="1" applyBorder="1" applyAlignment="1">
      <alignment horizontal="center" vertical="center"/>
    </xf>
    <xf numFmtId="0" fontId="18" fillId="0" borderId="30" xfId="1" applyFont="1" applyBorder="1" applyAlignment="1">
      <alignment horizontal="center" vertical="center"/>
    </xf>
    <xf numFmtId="0" fontId="18" fillId="0" borderId="31" xfId="1" applyFont="1" applyBorder="1" applyAlignment="1">
      <alignment horizontal="center" vertical="center"/>
    </xf>
  </cellXfs>
  <cellStyles count="5">
    <cellStyle name="Normal" xfId="0" builtinId="0"/>
    <cellStyle name="Normal 2" xfId="1" xr:uid="{1EB75807-752B-478E-B197-CF2966EF68DF}"/>
    <cellStyle name="Porcentagem" xfId="4" builtinId="5"/>
    <cellStyle name="Porcentagem 2" xfId="2" xr:uid="{77CD17FF-33FB-4544-9872-D26D79CB3F11}"/>
    <cellStyle name="Vírgula 2" xfId="3" xr:uid="{7847EAEC-BF5A-4EB8-B1AC-FA40FD012159}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ry Vinicius Frigeri" id="{7445061F-BE58-4359-8F50-DCC089F1E05C}" userId="S::ary.vn.frigeri@alunos.ipb.pt::678a3550-a15b-45e7-bc1f-8516a589b30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3A06C-9530-4AC4-A273-B68EBB42B857}" name="CV" displayName="CV" ref="A1:D52" totalsRowShown="0" headerRowDxfId="5" dataDxfId="4">
  <autoFilter ref="A1:D52" xr:uid="{6D5815AF-41E1-41BC-8F4A-E06380B409D2}"/>
  <tableColumns count="4">
    <tableColumn id="2" xr3:uid="{4B009F08-F123-4B4F-87BD-E05A651CADBD}" name="Nome" dataDxfId="3"/>
    <tableColumn id="3" xr3:uid="{802792EA-8292-47DE-B50E-28D1B83C95BF}" name="N" dataDxfId="2"/>
    <tableColumn id="4" xr3:uid="{D81EF2D3-4568-4BEC-8E06-2D4F720DFDD5}" name="E" dataDxfId="1"/>
    <tableColumn id="5" xr3:uid="{28E3DBFA-4721-4DA6-8819-F6ADD29416AC}" name="H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E2BB30-B22B-4E70-99A3-CB34F47B4007}" name="Pipe" displayName="Pipe" ref="A1:M1048576" totalsRowShown="0">
  <autoFilter ref="A1:M1048576" xr:uid="{0BAFED9F-E0D4-46AD-8DA5-108A568FB7CF}"/>
  <tableColumns count="13">
    <tableColumn id="2" xr3:uid="{C5A4CF3F-50C8-4525-965B-C5FAF22E6799}" name="Nome"/>
    <tableColumn id="3" xr3:uid="{D72F5E42-768F-4141-825C-98C9E9FCE65F}" name="PV_ini"/>
    <tableColumn id="4" xr3:uid="{A203CFAD-6472-4BA1-8F3C-9D324347CCBF}" name="PV_end"/>
    <tableColumn id="5" xr3:uid="{4B74BD18-795B-4BD8-899C-D345C02A0CC5}" name="DN"/>
    <tableColumn id="6" xr3:uid="{35218CED-B874-42D2-80ED-9B0769F627B9}" name="Elev_ini"/>
    <tableColumn id="7" xr3:uid="{C0BEB93D-C6A3-4F52-B7C1-74FA799626F8}" name="Elev_end"/>
    <tableColumn id="8" xr3:uid="{6B0D5203-BC15-4EF1-A3D7-5E803035A3B4}" name="Inc"/>
    <tableColumn id="9" xr3:uid="{E1947BEA-AAA3-4D64-82EE-9125361E1B09}" name="Comp_plano"/>
    <tableColumn id="10" xr3:uid="{27FA1A9C-0765-471E-AFAE-D5AFAC3A2450}" name="Comp_incli"/>
    <tableColumn id="11" xr3:uid="{337E7BDA-B9ED-406B-9DA8-F5CCA7117834}" name="Cobertura mínima"/>
    <tableColumn id="12" xr3:uid="{7802CC57-FD98-4870-9AEF-75DFCA1DDAB9}" name="Cobertura máxima"/>
    <tableColumn id="13" xr3:uid="{BBE15E0C-B40B-4783-B980-D56D0C682BB5}" name="Cobertura inicial"/>
    <tableColumn id="14" xr3:uid="{409CAF98-D4C9-4BEE-A8B5-0A48DE1ECA0F}" name="Cobertura final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6" dT="2020-05-01T00:38:18.23" personId="{7445061F-BE58-4359-8F50-DCC089F1E05C}" id="{B1E719BB-1C89-41C9-9F41-DB6384F9F00F}" done="1">
    <text>Verificar Declividade minima de acordo com portugal</text>
  </threadedComment>
  <threadedComment ref="S6" dT="2020-05-01T15:46:15.35" personId="{7445061F-BE58-4359-8F50-DCC089F1E05C}" id="{18C672AC-D959-47A5-B337-0A8CC8EDF4EC}" parentId="{B1E719BB-1C89-41C9-9F41-DB6384F9F00F}">
    <text>solucionado. Olhar celular no canto esquerdo inferior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6" dT="2020-05-01T00:38:18.23" personId="{7445061F-BE58-4359-8F50-DCC089F1E05C}" id="{8A4C5877-D552-4512-B6BB-BF9C3E074E4F}" done="1">
    <text>Verificar Declividade minima de acordo com portugal</text>
  </threadedComment>
  <threadedComment ref="S6" dT="2020-05-01T15:46:15.35" personId="{7445061F-BE58-4359-8F50-DCC089F1E05C}" id="{35184F09-BBA2-40C1-841B-A46D5B9916FA}" parentId="{8A4C5877-D552-4512-B6BB-BF9C3E074E4F}">
    <text>solucionado. Olhar celular no canto esquerdo inferior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4D4B7-5A4B-4149-98C9-076D559079A6}">
  <sheetPr codeName="Planilha1"/>
  <dimension ref="A1:D29"/>
  <sheetViews>
    <sheetView topLeftCell="A6" workbookViewId="0">
      <selection activeCell="B24" sqref="B24"/>
    </sheetView>
  </sheetViews>
  <sheetFormatPr defaultRowHeight="15.6" x14ac:dyDescent="0.3"/>
  <cols>
    <col min="1" max="1" width="10.8984375" customWidth="1"/>
  </cols>
  <sheetData>
    <row r="1" spans="1:4" x14ac:dyDescent="0.3">
      <c r="A1" s="20" t="s">
        <v>33</v>
      </c>
      <c r="B1" s="21"/>
      <c r="C1" s="22"/>
      <c r="D1" s="3"/>
    </row>
    <row r="2" spans="1:4" x14ac:dyDescent="0.3">
      <c r="A2" s="23" t="s">
        <v>34</v>
      </c>
      <c r="B2" s="17"/>
      <c r="C2" s="24"/>
      <c r="D2" s="3"/>
    </row>
    <row r="3" spans="1:4" x14ac:dyDescent="0.3">
      <c r="A3" s="23" t="s">
        <v>35</v>
      </c>
      <c r="B3" s="17"/>
      <c r="C3" s="24"/>
      <c r="D3" s="3"/>
    </row>
    <row r="4" spans="1:4" x14ac:dyDescent="0.3">
      <c r="A4" s="23" t="s">
        <v>36</v>
      </c>
      <c r="B4" s="18"/>
      <c r="C4" s="24"/>
      <c r="D4" s="3"/>
    </row>
    <row r="5" spans="1:4" x14ac:dyDescent="0.3">
      <c r="A5" s="23" t="s">
        <v>37</v>
      </c>
      <c r="B5" s="19"/>
      <c r="C5" s="24"/>
      <c r="D5" s="11">
        <f>B6</f>
        <v>0</v>
      </c>
    </row>
    <row r="6" spans="1:4" ht="16.2" thickBot="1" x14ac:dyDescent="0.35">
      <c r="A6" s="25" t="s">
        <v>38</v>
      </c>
      <c r="B6" s="26"/>
      <c r="C6" s="27"/>
      <c r="D6" s="3"/>
    </row>
    <row r="7" spans="1:4" x14ac:dyDescent="0.3">
      <c r="A7" s="16"/>
      <c r="B7" s="159"/>
      <c r="C7" s="160"/>
      <c r="D7" s="3"/>
    </row>
    <row r="8" spans="1:4" ht="16.2" thickBot="1" x14ac:dyDescent="0.35">
      <c r="A8" s="162" t="s">
        <v>195</v>
      </c>
      <c r="B8" s="162"/>
      <c r="C8" s="162"/>
      <c r="D8" s="3"/>
    </row>
    <row r="9" spans="1:4" x14ac:dyDescent="0.3">
      <c r="A9" s="30" t="s">
        <v>50</v>
      </c>
      <c r="B9" s="31">
        <v>3.0000000000000001E-3</v>
      </c>
      <c r="C9" s="22"/>
      <c r="D9" s="3"/>
    </row>
    <row r="10" spans="1:4" x14ac:dyDescent="0.3">
      <c r="A10" s="32" t="s">
        <v>51</v>
      </c>
      <c r="B10" s="28">
        <v>0.15</v>
      </c>
      <c r="C10" s="24"/>
      <c r="D10" s="3"/>
    </row>
    <row r="11" spans="1:4" x14ac:dyDescent="0.3">
      <c r="A11" s="32" t="s">
        <v>52</v>
      </c>
      <c r="B11" s="18">
        <v>0.6</v>
      </c>
      <c r="C11" s="33" t="s">
        <v>54</v>
      </c>
      <c r="D11" s="3"/>
    </row>
    <row r="12" spans="1:4" x14ac:dyDescent="0.3">
      <c r="A12" s="32" t="s">
        <v>53</v>
      </c>
      <c r="B12" s="29">
        <v>3</v>
      </c>
      <c r="C12" s="33" t="s">
        <v>54</v>
      </c>
      <c r="D12" s="3"/>
    </row>
    <row r="13" spans="1:4" x14ac:dyDescent="0.3">
      <c r="A13" s="32" t="s">
        <v>59</v>
      </c>
      <c r="B13" s="18">
        <v>0.5</v>
      </c>
      <c r="C13" s="24"/>
      <c r="D13" s="3"/>
    </row>
    <row r="14" spans="1:4" ht="16.2" thickBot="1" x14ac:dyDescent="0.35">
      <c r="A14" s="34" t="s">
        <v>57</v>
      </c>
      <c r="B14" s="35">
        <v>125</v>
      </c>
      <c r="C14" s="36" t="s">
        <v>58</v>
      </c>
      <c r="D14" s="3"/>
    </row>
    <row r="18" spans="1:3" x14ac:dyDescent="0.3">
      <c r="A18" t="s">
        <v>122</v>
      </c>
      <c r="B18">
        <v>0.5</v>
      </c>
      <c r="C18" t="s">
        <v>123</v>
      </c>
    </row>
    <row r="19" spans="1:3" x14ac:dyDescent="0.3">
      <c r="B19">
        <f>B18*1000/24/60/60</f>
        <v>5.7870370370370367E-3</v>
      </c>
      <c r="C19" t="s">
        <v>190</v>
      </c>
    </row>
    <row r="23" spans="1:3" ht="16.2" thickBot="1" x14ac:dyDescent="0.35">
      <c r="A23" s="162" t="s">
        <v>196</v>
      </c>
      <c r="B23" s="162"/>
      <c r="C23" s="162"/>
    </row>
    <row r="24" spans="1:3" x14ac:dyDescent="0.3">
      <c r="A24" s="30" t="s">
        <v>50</v>
      </c>
      <c r="B24" s="31">
        <v>3.0000000000000001E-3</v>
      </c>
      <c r="C24" s="22"/>
    </row>
    <row r="25" spans="1:3" x14ac:dyDescent="0.3">
      <c r="A25" s="32" t="s">
        <v>51</v>
      </c>
      <c r="B25" s="28">
        <v>0.15</v>
      </c>
      <c r="C25" s="24"/>
    </row>
    <row r="26" spans="1:3" x14ac:dyDescent="0.3">
      <c r="A26" s="32" t="s">
        <v>52</v>
      </c>
      <c r="B26" s="18">
        <v>0.9</v>
      </c>
      <c r="C26" s="33" t="s">
        <v>54</v>
      </c>
    </row>
    <row r="27" spans="1:3" x14ac:dyDescent="0.3">
      <c r="A27" s="32" t="s">
        <v>53</v>
      </c>
      <c r="B27" s="29">
        <v>5</v>
      </c>
      <c r="C27" s="33" t="s">
        <v>54</v>
      </c>
    </row>
    <row r="28" spans="1:3" x14ac:dyDescent="0.3">
      <c r="A28" s="32" t="s">
        <v>59</v>
      </c>
      <c r="B28" s="18">
        <v>1</v>
      </c>
      <c r="C28" s="24"/>
    </row>
    <row r="29" spans="1:3" ht="16.2" thickBot="1" x14ac:dyDescent="0.35">
      <c r="A29" s="34" t="s">
        <v>57</v>
      </c>
      <c r="B29" s="35">
        <v>70</v>
      </c>
      <c r="C29" s="36" t="s">
        <v>58</v>
      </c>
    </row>
  </sheetData>
  <mergeCells count="2">
    <mergeCell ref="A8:C8"/>
    <mergeCell ref="A23:C23"/>
  </mergeCells>
  <pageMargins left="0.511811024" right="0.511811024" top="0.78740157499999996" bottom="0.78740157499999996" header="0.31496062000000002" footer="0.31496062000000002"/>
  <pageSetup paperSize="13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0F09A-83B0-4646-903C-3710A083C504}">
  <sheetPr codeName="Planilha2">
    <pageSetUpPr fitToPage="1"/>
  </sheetPr>
  <dimension ref="A1:BU56"/>
  <sheetViews>
    <sheetView tabSelected="1" zoomScale="70" zoomScaleNormal="70" workbookViewId="0">
      <pane xSplit="1" topLeftCell="B1" activePane="topRight" state="frozen"/>
      <selection pane="topRight" activeCell="P7" sqref="P7"/>
    </sheetView>
  </sheetViews>
  <sheetFormatPr defaultRowHeight="14.4" x14ac:dyDescent="0.3"/>
  <cols>
    <col min="1" max="1" width="10.8984375" style="3" customWidth="1"/>
    <col min="2" max="2" width="8.8984375" style="13" customWidth="1"/>
    <col min="3" max="3" width="8.69921875" style="13" customWidth="1"/>
    <col min="4" max="4" width="10.796875" style="3" customWidth="1"/>
    <col min="5" max="5" width="10.3984375" style="3" customWidth="1"/>
    <col min="6" max="6" width="11.796875" style="3" customWidth="1"/>
    <col min="7" max="9" width="11" style="3" hidden="1" customWidth="1"/>
    <col min="10" max="10" width="11" style="3" customWidth="1"/>
    <col min="11" max="11" width="11.59765625" style="3" customWidth="1"/>
    <col min="12" max="12" width="8.69921875" style="3" customWidth="1"/>
    <col min="13" max="13" width="11.59765625" style="3" hidden="1" customWidth="1"/>
    <col min="14" max="14" width="10.296875" style="3" customWidth="1"/>
    <col min="15" max="15" width="9.59765625" style="3" customWidth="1"/>
    <col min="16" max="16" width="13.09765625" style="3" bestFit="1" customWidth="1"/>
    <col min="17" max="17" width="8.8984375" style="3" customWidth="1"/>
    <col min="18" max="18" width="10.8984375" style="3" customWidth="1"/>
    <col min="19" max="19" width="13.09765625" style="3" bestFit="1" customWidth="1"/>
    <col min="20" max="20" width="8" style="3" customWidth="1"/>
    <col min="21" max="21" width="11.296875" style="3" customWidth="1"/>
    <col min="22" max="22" width="8.69921875" style="3" customWidth="1"/>
    <col min="23" max="23" width="9.19921875" style="3" customWidth="1"/>
    <col min="24" max="24" width="12.09765625" style="3" customWidth="1"/>
    <col min="25" max="25" width="10.69921875" style="3" customWidth="1"/>
    <col min="26" max="26" width="5.69921875" style="16" customWidth="1"/>
    <col min="27" max="27" width="8.5" style="3" customWidth="1"/>
    <col min="28" max="28" width="8.3984375" style="3" customWidth="1"/>
    <col min="29" max="29" width="8.19921875" style="3" customWidth="1"/>
    <col min="30" max="30" width="9.19921875" style="3" customWidth="1"/>
    <col min="31" max="31" width="8.8984375" style="3" customWidth="1"/>
    <col min="32" max="32" width="7.69921875" style="3" customWidth="1"/>
    <col min="33" max="33" width="8" style="3" customWidth="1"/>
    <col min="34" max="34" width="9.5" style="3" customWidth="1"/>
    <col min="35" max="35" width="9.09765625" style="3" customWidth="1"/>
    <col min="36" max="36" width="8.69921875" style="3" customWidth="1"/>
    <col min="37" max="37" width="15" style="3" customWidth="1"/>
    <col min="38" max="38" width="11.69921875" style="3" customWidth="1"/>
    <col min="39" max="40" width="10.69921875" style="3" customWidth="1"/>
    <col min="41" max="41" width="10.3984375" style="3" customWidth="1"/>
    <col min="42" max="43" width="11.59765625" style="3" customWidth="1"/>
    <col min="44" max="49" width="8.5" style="3" customWidth="1"/>
    <col min="50" max="50" width="10.3984375" style="3" customWidth="1"/>
    <col min="51" max="51" width="10" style="3" customWidth="1"/>
    <col min="52" max="59" width="8.19921875" style="3" customWidth="1"/>
    <col min="60" max="60" width="8.796875" style="3"/>
    <col min="61" max="61" width="10.69921875" style="3" customWidth="1"/>
    <col min="62" max="64" width="8.796875" style="3"/>
    <col min="65" max="65" width="13.8984375" style="3" bestFit="1" customWidth="1"/>
    <col min="66" max="66" width="15.69921875" style="3" customWidth="1"/>
    <col min="67" max="67" width="9" style="3" bestFit="1" customWidth="1"/>
    <col min="68" max="68" width="8.69921875" style="3" customWidth="1"/>
    <col min="69" max="16384" width="8.796875" style="3"/>
  </cols>
  <sheetData>
    <row r="1" spans="1:73" x14ac:dyDescent="0.3">
      <c r="A1" s="169" t="s">
        <v>192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AA1" s="169" t="s">
        <v>194</v>
      </c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73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</row>
    <row r="3" spans="1:73" ht="15" thickBot="1" x14ac:dyDescent="0.35"/>
    <row r="4" spans="1:73" ht="15" customHeight="1" x14ac:dyDescent="0.3">
      <c r="A4" s="182" t="s">
        <v>13</v>
      </c>
      <c r="B4" s="176" t="s">
        <v>14</v>
      </c>
      <c r="C4" s="178"/>
      <c r="D4" s="184" t="s">
        <v>15</v>
      </c>
      <c r="E4" s="185"/>
      <c r="F4" s="182" t="s">
        <v>60</v>
      </c>
      <c r="G4" s="189" t="s">
        <v>127</v>
      </c>
      <c r="H4" s="190"/>
      <c r="I4" s="190"/>
      <c r="J4" s="190"/>
      <c r="K4" s="191"/>
      <c r="L4" s="176" t="s">
        <v>18</v>
      </c>
      <c r="M4" s="177"/>
      <c r="N4" s="178"/>
      <c r="O4" s="189" t="s">
        <v>16</v>
      </c>
      <c r="P4" s="195"/>
      <c r="Q4" s="195"/>
      <c r="R4" s="195"/>
      <c r="S4" s="195"/>
      <c r="T4" s="195"/>
      <c r="U4" s="185"/>
      <c r="V4" s="176" t="s">
        <v>17</v>
      </c>
      <c r="W4" s="178"/>
      <c r="X4" s="198" t="s">
        <v>42</v>
      </c>
      <c r="Y4" s="199"/>
      <c r="Z4" s="15"/>
      <c r="AA4" s="202" t="s">
        <v>56</v>
      </c>
      <c r="AB4" s="203"/>
      <c r="AC4" s="164" t="s">
        <v>19</v>
      </c>
      <c r="AD4" s="165"/>
      <c r="AE4" s="164" t="s">
        <v>20</v>
      </c>
      <c r="AF4" s="165"/>
      <c r="AG4" s="164" t="s">
        <v>21</v>
      </c>
      <c r="AH4" s="165"/>
      <c r="AI4" s="164" t="s">
        <v>22</v>
      </c>
      <c r="AJ4" s="165"/>
      <c r="AK4" s="13"/>
      <c r="AL4" s="168"/>
      <c r="AM4" s="168"/>
      <c r="AN4" s="168"/>
      <c r="AO4" s="168"/>
      <c r="AP4" s="168"/>
      <c r="AQ4" s="168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8"/>
      <c r="BE4" s="168"/>
      <c r="BF4" s="163"/>
      <c r="BG4" s="163"/>
      <c r="BH4" s="163"/>
      <c r="BI4" s="163"/>
      <c r="BN4" s="14"/>
    </row>
    <row r="5" spans="1:73" ht="15" thickBot="1" x14ac:dyDescent="0.35">
      <c r="A5" s="183"/>
      <c r="B5" s="179"/>
      <c r="C5" s="181"/>
      <c r="D5" s="186"/>
      <c r="E5" s="187"/>
      <c r="F5" s="183"/>
      <c r="G5" s="192"/>
      <c r="H5" s="193"/>
      <c r="I5" s="193"/>
      <c r="J5" s="193"/>
      <c r="K5" s="194"/>
      <c r="L5" s="179"/>
      <c r="M5" s="180"/>
      <c r="N5" s="181"/>
      <c r="O5" s="196"/>
      <c r="P5" s="197"/>
      <c r="Q5" s="197"/>
      <c r="R5" s="197"/>
      <c r="S5" s="197"/>
      <c r="T5" s="197"/>
      <c r="U5" s="187"/>
      <c r="V5" s="179"/>
      <c r="W5" s="181"/>
      <c r="X5" s="200"/>
      <c r="Y5" s="201"/>
      <c r="Z5" s="15"/>
      <c r="AA5" s="204"/>
      <c r="AB5" s="205"/>
      <c r="AC5" s="166"/>
      <c r="AD5" s="167"/>
      <c r="AE5" s="166"/>
      <c r="AF5" s="167"/>
      <c r="AG5" s="166"/>
      <c r="AH5" s="167"/>
      <c r="AI5" s="166"/>
      <c r="AJ5" s="167"/>
      <c r="AK5" s="13"/>
      <c r="AL5" s="168"/>
      <c r="AM5" s="168"/>
      <c r="AN5" s="168"/>
      <c r="AO5" s="168"/>
      <c r="AP5" s="168"/>
      <c r="AQ5" s="168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8"/>
      <c r="BE5" s="168"/>
      <c r="BF5" s="163"/>
      <c r="BG5" s="163"/>
      <c r="BH5" s="163"/>
      <c r="BI5" s="163"/>
      <c r="BO5" s="4"/>
      <c r="BP5" s="4"/>
    </row>
    <row r="6" spans="1:73" ht="52.2" customHeight="1" thickBot="1" x14ac:dyDescent="0.35">
      <c r="A6" s="183"/>
      <c r="B6" s="43" t="s">
        <v>23</v>
      </c>
      <c r="C6" s="46" t="s">
        <v>24</v>
      </c>
      <c r="D6" s="43" t="s">
        <v>23</v>
      </c>
      <c r="E6" s="46" t="s">
        <v>24</v>
      </c>
      <c r="F6" s="188"/>
      <c r="G6" s="59" t="s">
        <v>124</v>
      </c>
      <c r="H6" s="60" t="s">
        <v>125</v>
      </c>
      <c r="I6" s="60" t="s">
        <v>126</v>
      </c>
      <c r="J6" s="50" t="s">
        <v>25</v>
      </c>
      <c r="K6" s="50" t="s">
        <v>26</v>
      </c>
      <c r="L6" s="43" t="s">
        <v>43</v>
      </c>
      <c r="M6" s="54" t="s">
        <v>28</v>
      </c>
      <c r="N6" s="46" t="s">
        <v>29</v>
      </c>
      <c r="O6" s="58" t="s">
        <v>191</v>
      </c>
      <c r="P6" s="44" t="s">
        <v>47</v>
      </c>
      <c r="Q6" s="44" t="s">
        <v>48</v>
      </c>
      <c r="R6" s="44" t="s">
        <v>49</v>
      </c>
      <c r="S6" s="45" t="s">
        <v>55</v>
      </c>
      <c r="T6" s="45" t="s">
        <v>46</v>
      </c>
      <c r="U6" s="46" t="s">
        <v>27</v>
      </c>
      <c r="V6" s="43" t="s">
        <v>23</v>
      </c>
      <c r="W6" s="46" t="s">
        <v>24</v>
      </c>
      <c r="X6" s="149" t="s">
        <v>23</v>
      </c>
      <c r="Y6" s="38" t="s">
        <v>24</v>
      </c>
      <c r="Z6" s="15"/>
      <c r="AA6" s="149" t="s">
        <v>30</v>
      </c>
      <c r="AB6" s="38" t="s">
        <v>31</v>
      </c>
      <c r="AC6" s="149" t="s">
        <v>30</v>
      </c>
      <c r="AD6" s="38" t="s">
        <v>31</v>
      </c>
      <c r="AE6" s="149" t="s">
        <v>30</v>
      </c>
      <c r="AF6" s="38" t="s">
        <v>31</v>
      </c>
      <c r="AG6" s="150" t="s">
        <v>61</v>
      </c>
      <c r="AH6" s="37" t="s">
        <v>62</v>
      </c>
      <c r="AI6" s="149" t="s">
        <v>30</v>
      </c>
      <c r="AJ6" s="38" t="s">
        <v>32</v>
      </c>
      <c r="AK6" s="14"/>
      <c r="AL6" s="14"/>
      <c r="AM6" s="14"/>
      <c r="AN6" s="14"/>
      <c r="AO6" s="14"/>
      <c r="AP6" s="14"/>
      <c r="AQ6" s="14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O6" s="4"/>
      <c r="BP6" s="4"/>
    </row>
    <row r="7" spans="1:73" s="16" customFormat="1" ht="15.6" x14ac:dyDescent="0.3">
      <c r="A7" s="68" t="s">
        <v>64</v>
      </c>
      <c r="B7" s="70" t="str">
        <f>INDEX(Pipe[],MATCH(A7,Pipe[Nome],0),2)</f>
        <v>CV-1</v>
      </c>
      <c r="C7" s="71" t="str">
        <f>INDEX(Pipe[],MATCH(A7,Pipe[Nome],0),3)</f>
        <v>CV-2</v>
      </c>
      <c r="D7" s="78">
        <v>100</v>
      </c>
      <c r="E7" s="79">
        <v>90.1</v>
      </c>
      <c r="F7" s="89">
        <v>55</v>
      </c>
      <c r="G7" s="86">
        <v>15.109661422938363</v>
      </c>
      <c r="H7" s="61">
        <v>16.708850472218096</v>
      </c>
      <c r="I7" s="93">
        <f>Parametros!$B$19*F7/1000*N7/10</f>
        <v>1.5914351851851853E-2</v>
      </c>
      <c r="J7" s="95">
        <f>0.265*1000</f>
        <v>265</v>
      </c>
      <c r="K7" s="96">
        <v>265</v>
      </c>
      <c r="L7" s="99">
        <f>MAX(hidro_minimumDiameter(K7/1000,0.5,15/100,3,125),200)</f>
        <v>474.27733051089996</v>
      </c>
      <c r="M7" s="100">
        <f>0.3145*(K7/1000/(SQRT(U7)))^(3/8)*1000</f>
        <v>478.36992254447659</v>
      </c>
      <c r="N7" s="101">
        <v>500</v>
      </c>
      <c r="O7" s="109">
        <f t="shared" ref="O7:O24" si="0">(D7-E7)/F7</f>
        <v>0.1800000000000001</v>
      </c>
      <c r="P7" s="110" cm="1">
        <f t="array" ref="P7">hidro_slopeMinH(K7/1000,N7/1000,Parametros!$B$13,Parametros!$B$14)</f>
        <v>7.4611067958804496E-3</v>
      </c>
      <c r="Q7" s="110" cm="1">
        <f t="array" ref="Q7">hidro_slopeMinVELOCITY(J7/1000,N7/1000,Parametros!$B$11,Parametros!$B$14)</f>
        <v>3.946297472151588E-4</v>
      </c>
      <c r="R7" s="110" cm="1">
        <f t="array" ref="R7">hidro_slopeMaxVELOCITY(K7/1000,N7/1000,Parametros!$B$12,Parametros!$B$14)</f>
        <v>9.9056081421951981E-3</v>
      </c>
      <c r="S7" s="110">
        <f>MAX(P7,Q7,Parametros!$B$9)</f>
        <v>7.4611067958804496E-3</v>
      </c>
      <c r="T7" s="110">
        <f>MIN(R7,Parametros!$B$10)</f>
        <v>9.9056081421951981E-3</v>
      </c>
      <c r="U7" s="111">
        <v>7.4999999999999997E-3</v>
      </c>
      <c r="V7" s="119">
        <v>3</v>
      </c>
      <c r="W7" s="120">
        <f t="shared" ref="W7:W24" si="1">(E7-D7)+V7+F7*U7</f>
        <v>-6.487500000000006</v>
      </c>
      <c r="X7" s="127">
        <f t="shared" ref="X7:X24" si="2">D7-V7</f>
        <v>97</v>
      </c>
      <c r="Y7" s="128">
        <f t="shared" ref="Y7:Y24" si="3">E7-W7</f>
        <v>96.587500000000006</v>
      </c>
      <c r="Z7" s="6"/>
      <c r="AA7" s="135" cm="1">
        <f t="array" ref="AA7">hidro_findTheta(J7/1000,N7/1000,U7,Parametros!$B$14)</f>
        <v>3.1385612612562572</v>
      </c>
      <c r="AB7" s="136" cm="1">
        <f t="array" ref="AB7">hidro_findTheta(K7/1000,N7/1000,U7,Parametros!$B$14)</f>
        <v>3.1385612612562572</v>
      </c>
      <c r="AC7" s="135">
        <f>(N7/1000)*AA7/2</f>
        <v>0.78464031531406431</v>
      </c>
      <c r="AD7" s="136">
        <f>(N7/1000)*AB7/2</f>
        <v>0.78464031531406431</v>
      </c>
      <c r="AE7" s="143">
        <f>(1-COS(AA7/2))/2</f>
        <v>0.49924215220678775</v>
      </c>
      <c r="AF7" s="120">
        <f>(1-COS(AB7/2))/2</f>
        <v>0.49924215220678775</v>
      </c>
      <c r="AG7" s="143">
        <f t="shared" ref="AG7:AG24" si="4">(J7/1000)/(((N7/1000)^2/8)*(AA7-SIN(AA7)))</f>
        <v>2.7044870697906118</v>
      </c>
      <c r="AH7" s="120">
        <f>(K7/1000)/(((N7/1000)^2/8)*(AB7-SIN(AB7)))</f>
        <v>2.7044870697906118</v>
      </c>
      <c r="AI7" s="143">
        <f>9800*AC7*$U7</f>
        <v>57.671063175583726</v>
      </c>
      <c r="AJ7" s="120">
        <f>9800*AD7*$U7</f>
        <v>57.671063175583726</v>
      </c>
      <c r="AK7" s="6"/>
      <c r="AL7" s="5"/>
      <c r="AM7" s="41"/>
      <c r="AN7" s="41"/>
      <c r="AO7" s="7"/>
      <c r="AP7" s="41"/>
      <c r="AQ7" s="47"/>
      <c r="AR7" s="42"/>
      <c r="AS7" s="47"/>
      <c r="AT7" s="41"/>
      <c r="AU7" s="41"/>
      <c r="AV7" s="47"/>
      <c r="AW7" s="41"/>
      <c r="AX7" s="48"/>
      <c r="AY7" s="48"/>
      <c r="AZ7" s="47"/>
      <c r="BA7" s="47"/>
      <c r="BB7" s="8"/>
      <c r="BC7" s="8"/>
      <c r="BD7" s="41"/>
      <c r="BE7" s="41"/>
      <c r="BF7" s="41"/>
      <c r="BG7" s="41"/>
      <c r="BH7" s="41"/>
      <c r="BI7" s="41"/>
      <c r="BJ7" s="47"/>
      <c r="BR7" s="47"/>
      <c r="BS7" s="47"/>
      <c r="BT7" s="47"/>
      <c r="BU7" s="47"/>
    </row>
    <row r="8" spans="1:73" s="16" customFormat="1" ht="15.6" x14ac:dyDescent="0.3">
      <c r="A8" s="68" t="s">
        <v>65</v>
      </c>
      <c r="B8" s="72" t="str">
        <f>INDEX(Pipe[],MATCH(A8,Pipe[Nome],0),2)</f>
        <v>CV-2</v>
      </c>
      <c r="C8" s="73" t="str">
        <f>INDEX(Pipe[],MATCH(A8,Pipe[Nome],0),3)</f>
        <v>CV-3</v>
      </c>
      <c r="D8" s="80">
        <f>INDEX(CV[],MATCH(B8,CV[Nome],0),4)</f>
        <v>679.06200000000001</v>
      </c>
      <c r="E8" s="81">
        <f>INDEX(CV[],MATCH(C8,CV[Nome],0),4)</f>
        <v>679.06600000000003</v>
      </c>
      <c r="F8" s="90">
        <f>INDEX(Pipe[],MATCH(A8,Pipe[Nome],0),8)</f>
        <v>21.234000000000002</v>
      </c>
      <c r="G8" s="86">
        <v>15.153944927298891</v>
      </c>
      <c r="H8" s="61">
        <v>16.780809596290517</v>
      </c>
      <c r="I8" s="93">
        <f>Parametros!$B$19*F8/1000*N8/10</f>
        <v>2.457638888888889E-3</v>
      </c>
      <c r="J8" s="97">
        <f t="shared" ref="J8:J19" si="5">G8</f>
        <v>15.153944927298891</v>
      </c>
      <c r="K8" s="98">
        <f t="shared" ref="K8:K19" si="6">H8</f>
        <v>16.780809596290517</v>
      </c>
      <c r="L8" s="102">
        <f t="shared" ref="L8:L24" si="7">MAX(hidro_minimumDiameter(K8/1000,0.5,15/100,3,125),200)</f>
        <v>200</v>
      </c>
      <c r="M8" s="62">
        <f t="shared" ref="M8:M10" si="8">0.3145*(K8/1000/(SQRT(U8)))^(3/8)*1000</f>
        <v>161.03693308706747</v>
      </c>
      <c r="N8" s="103">
        <v>200</v>
      </c>
      <c r="O8" s="112">
        <f t="shared" si="0"/>
        <v>-1.8837713101719407E-4</v>
      </c>
      <c r="P8" s="63" cm="1">
        <f t="array" ref="P8">hidro_slopeMinH(K8/1000,N8/1000,Parametros!$B$13,Parametros!$B$14)</f>
        <v>3.9653729601901912E-3</v>
      </c>
      <c r="Q8" s="63" cm="1">
        <f t="array" ref="Q8">hidro_slopeMinVELOCITY(J8/1000,N8/1000,Parametros!$B$11,Parametros!$B$14)</f>
        <v>9.7377106096993961E-4</v>
      </c>
      <c r="R8" s="63" cm="1">
        <f t="array" ref="R8">hidro_slopeMaxVELOCITY(K8/1000,N8/1000,Parametros!$B$12,Parametros!$B$14)</f>
        <v>6.8741064686004605E-2</v>
      </c>
      <c r="S8" s="63">
        <f>MAX(P8,Q8,Parametros!$B$9)</f>
        <v>3.9653729601901912E-3</v>
      </c>
      <c r="T8" s="63">
        <f>MIN(R8,Parametros!$B$10)</f>
        <v>6.8741064686004605E-2</v>
      </c>
      <c r="U8" s="113">
        <v>0.01</v>
      </c>
      <c r="V8" s="121">
        <f>W7</f>
        <v>-6.487500000000006</v>
      </c>
      <c r="W8" s="122">
        <f t="shared" si="1"/>
        <v>-6.2711599999999867</v>
      </c>
      <c r="X8" s="129">
        <f t="shared" si="2"/>
        <v>685.54949999999997</v>
      </c>
      <c r="Y8" s="130">
        <f t="shared" si="3"/>
        <v>685.33716000000004</v>
      </c>
      <c r="Z8" s="6"/>
      <c r="AA8" s="137" cm="1">
        <f t="array" ref="AA8">hidro_findTheta(J8/1000,N8/1000,U8,Parametros!$B$14)</f>
        <v>2.5943762315328969</v>
      </c>
      <c r="AB8" s="138" cm="1">
        <f t="array" ref="AB8">hidro_findTheta(K8/1000,N8/1000,U8,Parametros!$B$14)</f>
        <v>2.6794417134504696</v>
      </c>
      <c r="AC8" s="137">
        <f t="shared" ref="AC8:AC10" si="9">(N8/1000)*AA8/2</f>
        <v>0.25943762315328972</v>
      </c>
      <c r="AD8" s="138">
        <f t="shared" ref="AD8:AD10" si="10">(N8/1000)*AB8/2</f>
        <v>0.26794417134504694</v>
      </c>
      <c r="AE8" s="121">
        <f t="shared" ref="AE8:AE10" si="11">(1-COS(AA8/2))/2</f>
        <v>0.36489640919549904</v>
      </c>
      <c r="AF8" s="122">
        <f t="shared" ref="AF8:AF10" si="12">(1-COS(AB8/2))/2</f>
        <v>0.38548772972224377</v>
      </c>
      <c r="AG8" s="121">
        <f t="shared" si="4"/>
        <v>1.4612802929976223</v>
      </c>
      <c r="AH8" s="122">
        <f t="shared" ref="AH8:AH10" si="13">(K8/1000)/(((N8/1000)^2/8)*(AB8-SIN(AB8)))</f>
        <v>1.5026016676649194</v>
      </c>
      <c r="AI8" s="121">
        <f t="shared" ref="AI8:AI10" si="14">9800*AC8*$U8</f>
        <v>25.424887069022393</v>
      </c>
      <c r="AJ8" s="122">
        <f t="shared" ref="AJ8:AJ10" si="15">9800*AD8*$U8</f>
        <v>26.258528791814602</v>
      </c>
      <c r="AK8" s="6"/>
      <c r="AL8" s="5"/>
      <c r="AM8" s="41"/>
      <c r="AN8" s="41"/>
      <c r="AO8" s="9"/>
      <c r="AP8" s="41"/>
      <c r="AQ8" s="47"/>
      <c r="AR8" s="42"/>
      <c r="AS8" s="47"/>
      <c r="AT8" s="41"/>
      <c r="AU8" s="41"/>
      <c r="AV8" s="47"/>
      <c r="AW8" s="41"/>
      <c r="AX8" s="48"/>
      <c r="AY8" s="48"/>
      <c r="AZ8" s="47"/>
      <c r="BA8" s="47"/>
      <c r="BB8" s="10"/>
      <c r="BC8" s="10"/>
      <c r="BD8" s="41"/>
      <c r="BE8" s="41"/>
      <c r="BF8" s="41"/>
      <c r="BG8" s="41"/>
      <c r="BH8" s="41"/>
      <c r="BI8" s="41"/>
      <c r="BJ8" s="47"/>
      <c r="BO8" s="47"/>
      <c r="BP8" s="47"/>
      <c r="BR8" s="47"/>
      <c r="BS8" s="47"/>
      <c r="BT8" s="47"/>
      <c r="BU8" s="47"/>
    </row>
    <row r="9" spans="1:73" s="16" customFormat="1" ht="15.6" x14ac:dyDescent="0.3">
      <c r="A9" s="68" t="s">
        <v>66</v>
      </c>
      <c r="B9" s="72" t="str">
        <f>INDEX(Pipe[],MATCH(A9,Pipe[Nome],0),2)</f>
        <v>CV-3</v>
      </c>
      <c r="C9" s="73" t="str">
        <f>INDEX(Pipe[],MATCH(A9,Pipe[Nome],0),3)</f>
        <v>CV-4</v>
      </c>
      <c r="D9" s="80">
        <f>INDEX(CV[],MATCH(B9,CV[Nome],0),4)</f>
        <v>679.06600000000003</v>
      </c>
      <c r="E9" s="81">
        <f>INDEX(CV[],MATCH(C9,CV[Nome],0),4)</f>
        <v>679.18200000000002</v>
      </c>
      <c r="F9" s="90">
        <f>INDEX(Pipe[],MATCH(A9,Pipe[Nome],0),8)</f>
        <v>9.0139999999999993</v>
      </c>
      <c r="G9" s="86">
        <v>15.184266320166078</v>
      </c>
      <c r="H9" s="61">
        <v>16.83050392295603</v>
      </c>
      <c r="I9" s="93">
        <f>Parametros!$B$19*F9/1000*N9/10</f>
        <v>1.0432870370370368E-3</v>
      </c>
      <c r="J9" s="97">
        <f t="shared" si="5"/>
        <v>15.184266320166078</v>
      </c>
      <c r="K9" s="98">
        <f t="shared" si="6"/>
        <v>16.83050392295603</v>
      </c>
      <c r="L9" s="102">
        <f t="shared" si="7"/>
        <v>200</v>
      </c>
      <c r="M9" s="62">
        <f t="shared" si="8"/>
        <v>161.21560208757867</v>
      </c>
      <c r="N9" s="103">
        <v>200</v>
      </c>
      <c r="O9" s="112">
        <f t="shared" si="0"/>
        <v>-1.2868870645660689E-2</v>
      </c>
      <c r="P9" s="63" cm="1">
        <f t="array" ref="P9">hidro_slopeMinH(K9/1000,N9/1000,Parametros!$B$13,Parametros!$B$14)</f>
        <v>3.9888936750387691E-3</v>
      </c>
      <c r="Q9" s="63" cm="1">
        <f t="array" ref="Q9">hidro_slopeMinVELOCITY(J9/1000,N9/1000,Parametros!$B$11,Parametros!$B$14)</f>
        <v>9.732651896582448E-4</v>
      </c>
      <c r="R9" s="63" cm="1">
        <f t="array" ref="R9">hidro_slopeMaxVELOCITY(K9/1000,N9/1000,Parametros!$B$12,Parametros!$B$14)</f>
        <v>6.8574954621354406E-2</v>
      </c>
      <c r="S9" s="63">
        <f>MAX(P9,Q9,Parametros!$B$9)</f>
        <v>3.9888936750387691E-3</v>
      </c>
      <c r="T9" s="63">
        <f>MIN(R9,Parametros!$B$10)</f>
        <v>6.8574954621354406E-2</v>
      </c>
      <c r="U9" s="113">
        <v>0.01</v>
      </c>
      <c r="V9" s="121">
        <f>W8</f>
        <v>-6.2711599999999867</v>
      </c>
      <c r="W9" s="122">
        <f t="shared" si="1"/>
        <v>-6.0650200000000014</v>
      </c>
      <c r="X9" s="129">
        <f t="shared" si="2"/>
        <v>685.33716000000004</v>
      </c>
      <c r="Y9" s="130">
        <f t="shared" si="3"/>
        <v>685.24702000000002</v>
      </c>
      <c r="Z9" s="6"/>
      <c r="AA9" s="137" cm="1">
        <f t="array" ref="AA9">hidro_findTheta(J9/1000,N9/1000,U9,Parametros!$B$14)</f>
        <v>2.5959984679490793</v>
      </c>
      <c r="AB9" s="138" cm="1">
        <f t="array" ref="AB9">hidro_findTheta(K9/1000,N9/1000,U9,Parametros!$B$14)</f>
        <v>2.68198141359745</v>
      </c>
      <c r="AC9" s="137">
        <f t="shared" si="9"/>
        <v>0.25959984679490794</v>
      </c>
      <c r="AD9" s="138">
        <f t="shared" si="10"/>
        <v>0.26819814135974501</v>
      </c>
      <c r="AE9" s="121">
        <f t="shared" si="11"/>
        <v>0.36528692679403768</v>
      </c>
      <c r="AF9" s="122">
        <f t="shared" si="12"/>
        <v>0.38610587102405636</v>
      </c>
      <c r="AG9" s="121">
        <f t="shared" si="4"/>
        <v>1.4620835151163176</v>
      </c>
      <c r="AH9" s="122">
        <f t="shared" si="13"/>
        <v>1.5038100071630978</v>
      </c>
      <c r="AI9" s="121">
        <f t="shared" si="14"/>
        <v>25.440784985900979</v>
      </c>
      <c r="AJ9" s="122">
        <f t="shared" si="15"/>
        <v>26.28341785325501</v>
      </c>
      <c r="AK9" s="6"/>
      <c r="AL9" s="5"/>
      <c r="AM9" s="41"/>
      <c r="AN9" s="41"/>
      <c r="AO9" s="9"/>
      <c r="AP9" s="41"/>
      <c r="AQ9" s="47"/>
      <c r="AR9" s="42"/>
      <c r="AS9" s="47"/>
      <c r="AT9" s="41"/>
      <c r="AU9" s="41"/>
      <c r="AV9" s="47"/>
      <c r="AW9" s="41"/>
      <c r="AX9" s="48"/>
      <c r="AY9" s="48"/>
      <c r="AZ9" s="47"/>
      <c r="BA9" s="47"/>
      <c r="BB9" s="10"/>
      <c r="BC9" s="10"/>
      <c r="BD9" s="41"/>
      <c r="BE9" s="41"/>
      <c r="BF9" s="41"/>
      <c r="BG9" s="41"/>
      <c r="BH9" s="41"/>
      <c r="BI9" s="41"/>
      <c r="BJ9" s="47"/>
      <c r="BO9" s="47"/>
      <c r="BP9" s="47"/>
      <c r="BR9" s="47"/>
      <c r="BS9" s="47"/>
      <c r="BT9" s="47"/>
      <c r="BU9" s="47"/>
    </row>
    <row r="10" spans="1:73" s="16" customFormat="1" ht="15.6" x14ac:dyDescent="0.3">
      <c r="A10" s="68" t="s">
        <v>67</v>
      </c>
      <c r="B10" s="72" t="str">
        <f>INDEX(Pipe[],MATCH(A10,Pipe[Nome],0),2)</f>
        <v>CV-4</v>
      </c>
      <c r="C10" s="73" t="str">
        <f>INDEX(Pipe[],MATCH(A10,Pipe[Nome],0),3)</f>
        <v>CV-12</v>
      </c>
      <c r="D10" s="80">
        <f>INDEX(CV[],MATCH(B10,CV[Nome],0),4)</f>
        <v>679.18200000000002</v>
      </c>
      <c r="E10" s="81">
        <f>INDEX(CV[],MATCH(C10,CV[Nome],0),4)</f>
        <v>679.29600000000005</v>
      </c>
      <c r="F10" s="90">
        <f>INDEX(Pipe[],MATCH(A10,Pipe[Nome],0),8)</f>
        <v>41.375999999999998</v>
      </c>
      <c r="G10" s="86">
        <v>15.239246247620937</v>
      </c>
      <c r="H10" s="61">
        <v>16.918694594065162</v>
      </c>
      <c r="I10" s="93">
        <f>Parametros!$B$19*F10/1000*N10/10</f>
        <v>4.7888888888888885E-3</v>
      </c>
      <c r="J10" s="97">
        <f t="shared" si="5"/>
        <v>15.239246247620937</v>
      </c>
      <c r="K10" s="98">
        <f t="shared" si="6"/>
        <v>16.918694594065162</v>
      </c>
      <c r="L10" s="102">
        <f t="shared" si="7"/>
        <v>200</v>
      </c>
      <c r="M10" s="62">
        <f t="shared" si="8"/>
        <v>161.53186928456773</v>
      </c>
      <c r="N10" s="103">
        <v>200</v>
      </c>
      <c r="O10" s="112">
        <f t="shared" si="0"/>
        <v>-2.755220417634202E-3</v>
      </c>
      <c r="P10" s="63" cm="1">
        <f t="array" ref="P10">hidro_slopeMinH(K10/1000,N10/1000,Parametros!$B$13,Parametros!$B$14)</f>
        <v>4.0308062489686153E-3</v>
      </c>
      <c r="Q10" s="63" cm="1">
        <f t="array" ref="Q10">hidro_slopeMinVELOCITY(J10/1000,N10/1000,Parametros!$B$11,Parametros!$B$14)</f>
        <v>9.7237413633091913E-4</v>
      </c>
      <c r="R10" s="63" cm="1">
        <f t="array" ref="R10">hidro_slopeMaxVELOCITY(K10/1000,N10/1000,Parametros!$B$12,Parametros!$B$14)</f>
        <v>6.8282443554198061E-2</v>
      </c>
      <c r="S10" s="63">
        <f>MAX(P10,Q10,Parametros!$B$9)</f>
        <v>4.0308062489686153E-3</v>
      </c>
      <c r="T10" s="63">
        <f>MIN(R10,Parametros!$B$10)</f>
        <v>6.8282443554198061E-2</v>
      </c>
      <c r="U10" s="113">
        <v>0.01</v>
      </c>
      <c r="V10" s="121">
        <f>W9</f>
        <v>-6.0650200000000014</v>
      </c>
      <c r="W10" s="122">
        <f t="shared" si="1"/>
        <v>-5.5372599999999688</v>
      </c>
      <c r="X10" s="129">
        <f t="shared" si="2"/>
        <v>685.24702000000002</v>
      </c>
      <c r="Y10" s="130">
        <f t="shared" si="3"/>
        <v>684.83326</v>
      </c>
      <c r="Z10" s="6"/>
      <c r="AA10" s="137" cm="1">
        <f t="array" ref="AA10">hidro_findTheta(J10/1000,N10/1000,U10,Parametros!$B$14)</f>
        <v>2.5989361470440624</v>
      </c>
      <c r="AB10" s="138" cm="1">
        <f t="array" ref="AB10">hidro_findTheta(K10/1000,N10/1000,U10,Parametros!$B$14)</f>
        <v>2.6864806279330153</v>
      </c>
      <c r="AC10" s="137">
        <f t="shared" si="9"/>
        <v>0.25989361470440625</v>
      </c>
      <c r="AD10" s="138">
        <f t="shared" si="10"/>
        <v>0.26864806279330156</v>
      </c>
      <c r="AE10" s="121">
        <f t="shared" si="11"/>
        <v>0.36599433356576355</v>
      </c>
      <c r="AF10" s="122">
        <f t="shared" si="12"/>
        <v>0.38720139156878763</v>
      </c>
      <c r="AG10" s="121">
        <f t="shared" si="4"/>
        <v>1.4635365713633892</v>
      </c>
      <c r="AH10" s="122">
        <f t="shared" si="13"/>
        <v>1.505946985052391</v>
      </c>
      <c r="AI10" s="121">
        <f t="shared" si="14"/>
        <v>25.469574241031815</v>
      </c>
      <c r="AJ10" s="122">
        <f t="shared" si="15"/>
        <v>26.327510153743553</v>
      </c>
      <c r="AK10" s="6"/>
      <c r="AL10" s="5"/>
      <c r="AM10" s="41"/>
      <c r="AN10" s="41"/>
      <c r="AO10" s="9"/>
      <c r="AP10" s="41"/>
      <c r="AQ10" s="47"/>
      <c r="AR10" s="42"/>
      <c r="AS10" s="47"/>
      <c r="AT10" s="41"/>
      <c r="AU10" s="41"/>
      <c r="AV10" s="47"/>
      <c r="AW10" s="41"/>
      <c r="AX10" s="48"/>
      <c r="AY10" s="48"/>
      <c r="AZ10" s="47"/>
      <c r="BA10" s="47"/>
      <c r="BB10" s="10"/>
      <c r="BC10" s="10"/>
      <c r="BD10" s="41"/>
      <c r="BE10" s="41"/>
      <c r="BF10" s="41"/>
      <c r="BG10" s="41"/>
      <c r="BH10" s="41"/>
      <c r="BI10" s="41"/>
      <c r="BJ10" s="47"/>
      <c r="BO10" s="47"/>
      <c r="BP10" s="47"/>
      <c r="BR10" s="47"/>
      <c r="BS10" s="47"/>
      <c r="BT10" s="47"/>
      <c r="BU10" s="47"/>
    </row>
    <row r="11" spans="1:73" s="16" customFormat="1" ht="15.6" x14ac:dyDescent="0.3">
      <c r="A11" s="68" t="s">
        <v>77</v>
      </c>
      <c r="B11" s="72" t="str">
        <f>INDEX(Pipe[],MATCH(A11,Pipe[Nome],0),2)</f>
        <v>CV-12</v>
      </c>
      <c r="C11" s="73" t="str">
        <f>INDEX(Pipe[],MATCH(A11,Pipe[Nome],0),3)</f>
        <v>CV-14</v>
      </c>
      <c r="D11" s="80">
        <f>INDEX(CV[],MATCH(B11,CV[Nome],0),4)</f>
        <v>679.29600000000005</v>
      </c>
      <c r="E11" s="81">
        <f>INDEX(CV[],MATCH(C11,CV[Nome],0),4)</f>
        <v>679.28700000000003</v>
      </c>
      <c r="F11" s="90">
        <f>INDEX(Pipe[],MATCH(A11,Pipe[Nome],0),8)</f>
        <v>19.021000000000001</v>
      </c>
      <c r="G11" s="86">
        <v>30.35856017557116</v>
      </c>
      <c r="H11" s="61">
        <v>33.645500257208688</v>
      </c>
      <c r="I11" s="93">
        <f>Parametros!$B$19*F11/1000*N11/10</f>
        <v>2.2015046296296296E-3</v>
      </c>
      <c r="J11" s="97">
        <f t="shared" si="5"/>
        <v>30.35856017557116</v>
      </c>
      <c r="K11" s="98">
        <f t="shared" si="6"/>
        <v>33.645500257208688</v>
      </c>
      <c r="L11" s="102">
        <f t="shared" si="7"/>
        <v>200</v>
      </c>
      <c r="M11" s="62">
        <f t="shared" ref="M11:M24" si="16">0.3145*(K11/1000/(SQRT(U11)))^(3/8)*1000</f>
        <v>183.5587733593014</v>
      </c>
      <c r="N11" s="103">
        <v>200</v>
      </c>
      <c r="O11" s="112">
        <f t="shared" si="0"/>
        <v>4.7316124283762955E-4</v>
      </c>
      <c r="P11" s="63" cm="1">
        <f t="array" ref="P11">hidro_slopeMinH(K11/1000,N11/1000,Parametros!$B$13,Parametros!$B$14)</f>
        <v>1.5940876655748774E-2</v>
      </c>
      <c r="Q11" s="63" cm="1">
        <f t="array" ref="Q11">hidro_slopeMinVELOCITY(J11/1000,N11/1000,Parametros!$B$11,Parametros!$B$14)</f>
        <v>1.1944999278305337E-3</v>
      </c>
      <c r="R11" s="63" cm="1">
        <f t="array" ref="R11">hidro_slopeMaxVELOCITY(K11/1000,N11/1000,Parametros!$B$12,Parametros!$B$14)</f>
        <v>3.9734075646249624E-2</v>
      </c>
      <c r="S11" s="63">
        <f>MAX(P11,Q11,Parametros!$B$9)</f>
        <v>1.5940876655748774E-2</v>
      </c>
      <c r="T11" s="63">
        <f>MIN(R11,Parametros!$B$10)</f>
        <v>3.9734075646249624E-2</v>
      </c>
      <c r="U11" s="113">
        <v>0.02</v>
      </c>
      <c r="V11" s="121">
        <f t="shared" ref="V11:V23" si="17">W10</f>
        <v>-5.5372599999999688</v>
      </c>
      <c r="W11" s="122">
        <f t="shared" si="1"/>
        <v>-5.1658399999999833</v>
      </c>
      <c r="X11" s="129">
        <f t="shared" si="2"/>
        <v>684.83326</v>
      </c>
      <c r="Y11" s="130">
        <f t="shared" si="3"/>
        <v>684.45284000000004</v>
      </c>
      <c r="Z11" s="6"/>
      <c r="AA11" s="137" cm="1">
        <f t="array" ref="AA11">hidro_findTheta(J11/1000,N11/1000,U11,Parametros!$B$14)</f>
        <v>2.9073072435585008</v>
      </c>
      <c r="AB11" s="138" cm="1">
        <f t="array" ref="AB11">hidro_findTheta(K11/1000,N11/1000,U11,Parametros!$B$14)</f>
        <v>3.0139520574212919</v>
      </c>
      <c r="AC11" s="137">
        <f t="shared" ref="AC11:AC24" si="18">(N11/1000)*AA11/2</f>
        <v>0.29073072435585007</v>
      </c>
      <c r="AD11" s="138">
        <f t="shared" ref="AD11:AD24" si="19">(N11/1000)*AB11/2</f>
        <v>0.30139520574212919</v>
      </c>
      <c r="AE11" s="121">
        <f t="shared" ref="AE11:AE24" si="20">(1-COS(AA11/2))/2</f>
        <v>0.44156251232987781</v>
      </c>
      <c r="AF11" s="122">
        <f t="shared" ref="AF11:AF24" si="21">(1-COS(AB11/2))/2</f>
        <v>0.46811150838160931</v>
      </c>
      <c r="AG11" s="121">
        <f t="shared" si="4"/>
        <v>2.269663758456959</v>
      </c>
      <c r="AH11" s="122">
        <f t="shared" ref="AH11:AH24" si="22">(K11/1000)/(((N11/1000)^2/8)*(AB11-SIN(AB11)))</f>
        <v>2.3311042012461463</v>
      </c>
      <c r="AI11" s="121">
        <f t="shared" ref="AI11:AI24" si="23">9800*AC11*$U11</f>
        <v>56.983221973746616</v>
      </c>
      <c r="AJ11" s="122">
        <f t="shared" ref="AJ11:AJ24" si="24">9800*AD11*$U11</f>
        <v>59.073460325457319</v>
      </c>
    </row>
    <row r="12" spans="1:73" s="16" customFormat="1" ht="17.399999999999999" customHeight="1" x14ac:dyDescent="0.3">
      <c r="A12" s="68" t="s">
        <v>79</v>
      </c>
      <c r="B12" s="72" t="str">
        <f>INDEX(Pipe[],MATCH(A12,Pipe[Nome],0),2)</f>
        <v>CV-14</v>
      </c>
      <c r="C12" s="73" t="str">
        <f>INDEX(Pipe[],MATCH(A12,Pipe[Nome],0),3)</f>
        <v>CV-17</v>
      </c>
      <c r="D12" s="80">
        <f>INDEX(CV[],MATCH(B12,CV[Nome],0),4)</f>
        <v>679.28700000000003</v>
      </c>
      <c r="E12" s="81">
        <f>INDEX(CV[],MATCH(C12,CV[Nome],0),4)</f>
        <v>678.92700000000002</v>
      </c>
      <c r="F12" s="90">
        <f>INDEX(Pipe[],MATCH(A12,Pipe[Nome],0),8)</f>
        <v>14.037000000000001</v>
      </c>
      <c r="G12" s="86">
        <v>30.410375866914908</v>
      </c>
      <c r="H12" s="61">
        <v>33.730526692206709</v>
      </c>
      <c r="I12" s="93">
        <f>Parametros!$B$19*F12/1000*N12/10</f>
        <v>1.624652777777778E-3</v>
      </c>
      <c r="J12" s="97">
        <f t="shared" si="5"/>
        <v>30.410375866914908</v>
      </c>
      <c r="K12" s="98">
        <f t="shared" si="6"/>
        <v>33.730526692206709</v>
      </c>
      <c r="L12" s="102">
        <f t="shared" si="7"/>
        <v>200</v>
      </c>
      <c r="M12" s="62">
        <f t="shared" si="16"/>
        <v>183.73258976073146</v>
      </c>
      <c r="N12" s="103">
        <v>200</v>
      </c>
      <c r="O12" s="112">
        <f t="shared" si="0"/>
        <v>2.5646505663604303E-2</v>
      </c>
      <c r="P12" s="63" cm="1">
        <f t="array" ref="P12">hidro_slopeMinH(K12/1000,N12/1000,Parametros!$B$13,Parametros!$B$14)</f>
        <v>1.602154768342649E-2</v>
      </c>
      <c r="Q12" s="63" cm="1">
        <f t="array" ref="Q12">hidro_slopeMinVELOCITY(J12/1000,N12/1000,Parametros!$B$11,Parametros!$B$14)</f>
        <v>1.1932362626666145E-3</v>
      </c>
      <c r="R12" s="63" cm="1">
        <f t="array" ref="R12">hidro_slopeMaxVELOCITY(K12/1000,N12/1000,Parametros!$B$12,Parametros!$B$14)</f>
        <v>3.9659339838068214E-2</v>
      </c>
      <c r="S12" s="63">
        <f>MAX(P12,Q12,Parametros!$B$9)</f>
        <v>1.602154768342649E-2</v>
      </c>
      <c r="T12" s="63">
        <f>MIN(R12,Parametros!$B$10)</f>
        <v>3.9659339838068214E-2</v>
      </c>
      <c r="U12" s="113">
        <v>0.02</v>
      </c>
      <c r="V12" s="121">
        <f t="shared" si="17"/>
        <v>-5.1658399999999833</v>
      </c>
      <c r="W12" s="122">
        <f t="shared" si="1"/>
        <v>-5.2450999999999972</v>
      </c>
      <c r="X12" s="129">
        <f t="shared" si="2"/>
        <v>684.45284000000004</v>
      </c>
      <c r="Y12" s="130">
        <f t="shared" si="3"/>
        <v>684.1721</v>
      </c>
      <c r="Z12" s="6"/>
      <c r="AA12" s="137" cm="1">
        <f t="array" ref="AA12">hidro_findTheta(J12/1000,N12/1000,U12,Parametros!$B$14)</f>
        <v>2.9090140783258462</v>
      </c>
      <c r="AB12" s="138" cm="1">
        <f t="array" ref="AB12">hidro_findTheta(K12/1000,N12/1000,U12,Parametros!$B$14)</f>
        <v>3.0166719111896256</v>
      </c>
      <c r="AC12" s="137">
        <f t="shared" si="18"/>
        <v>0.29090140783258461</v>
      </c>
      <c r="AD12" s="138">
        <f t="shared" si="19"/>
        <v>0.30166719111896256</v>
      </c>
      <c r="AE12" s="121">
        <f t="shared" si="20"/>
        <v>0.44198631786081682</v>
      </c>
      <c r="AF12" s="122">
        <f t="shared" si="21"/>
        <v>0.46879011681588112</v>
      </c>
      <c r="AG12" s="121">
        <f t="shared" si="4"/>
        <v>2.2706793633549407</v>
      </c>
      <c r="AH12" s="122">
        <f t="shared" si="22"/>
        <v>2.3326170420049661</v>
      </c>
      <c r="AI12" s="121">
        <f t="shared" si="23"/>
        <v>57.016675935186584</v>
      </c>
      <c r="AJ12" s="122">
        <f t="shared" si="24"/>
        <v>59.126769459316669</v>
      </c>
    </row>
    <row r="13" spans="1:73" s="16" customFormat="1" ht="15.6" x14ac:dyDescent="0.3">
      <c r="A13" s="68" t="s">
        <v>81</v>
      </c>
      <c r="B13" s="72" t="str">
        <f>INDEX(Pipe[],MATCH(A13,Pipe[Nome],0),2)</f>
        <v>CV-17</v>
      </c>
      <c r="C13" s="73" t="str">
        <f>INDEX(Pipe[],MATCH(A13,Pipe[Nome],0),3)</f>
        <v>CV-19</v>
      </c>
      <c r="D13" s="80">
        <f>INDEX(CV[],MATCH(B13,CV[Nome],0),4)</f>
        <v>678.92700000000002</v>
      </c>
      <c r="E13" s="81">
        <f>INDEX(CV[],MATCH(C13,CV[Nome],0),4)</f>
        <v>678.173</v>
      </c>
      <c r="F13" s="90">
        <f>INDEX(Pipe[],MATCH(A13,Pipe[Nome],0),8)</f>
        <v>45.237000000000002</v>
      </c>
      <c r="G13" s="86">
        <v>30.591280265784686</v>
      </c>
      <c r="H13" s="61">
        <v>34.027668693866445</v>
      </c>
      <c r="I13" s="93">
        <f>Parametros!$B$19*F13/1000*N13/10</f>
        <v>5.2357638888888896E-3</v>
      </c>
      <c r="J13" s="97">
        <f t="shared" si="5"/>
        <v>30.591280265784686</v>
      </c>
      <c r="K13" s="98">
        <f t="shared" si="6"/>
        <v>34.027668693866445</v>
      </c>
      <c r="L13" s="102">
        <f t="shared" si="7"/>
        <v>200</v>
      </c>
      <c r="M13" s="62">
        <f t="shared" si="16"/>
        <v>170.84311757507115</v>
      </c>
      <c r="N13" s="103">
        <v>200</v>
      </c>
      <c r="O13" s="112">
        <f t="shared" si="0"/>
        <v>1.6667771956584632E-2</v>
      </c>
      <c r="P13" s="63" cm="1">
        <f t="array" ref="P13">hidro_slopeMinH(K13/1000,N13/1000,Parametros!$B$13,Parametros!$B$14)</f>
        <v>1.630506794238467E-2</v>
      </c>
      <c r="Q13" s="63" cm="1">
        <f t="array" ref="Q13">hidro_slopeMinVELOCITY(J13/1000,N13/1000,Parametros!$B$11,Parametros!$B$14)</f>
        <v>1.1888793446265765E-3</v>
      </c>
      <c r="R13" s="63" cm="1">
        <f t="array" ref="R13">hidro_slopeMaxVELOCITY(K13/1000,N13/1000,Parametros!$B$12,Parametros!$B$14)</f>
        <v>3.9401052087589886E-2</v>
      </c>
      <c r="S13" s="63">
        <f>MAX(P13,Q13,Parametros!$B$9)</f>
        <v>1.630506794238467E-2</v>
      </c>
      <c r="T13" s="63">
        <f>MIN(R13,Parametros!$B$10)</f>
        <v>3.9401052087589886E-2</v>
      </c>
      <c r="U13" s="113">
        <v>0.03</v>
      </c>
      <c r="V13" s="121">
        <f t="shared" si="17"/>
        <v>-5.2450999999999972</v>
      </c>
      <c r="W13" s="122">
        <f t="shared" si="1"/>
        <v>-4.6419900000000158</v>
      </c>
      <c r="X13" s="129">
        <f t="shared" si="2"/>
        <v>684.1721</v>
      </c>
      <c r="Y13" s="130">
        <f t="shared" si="3"/>
        <v>682.81498999999997</v>
      </c>
      <c r="Z13" s="6"/>
      <c r="AA13" s="137" cm="1">
        <f t="array" ref="AA13">hidro_findTheta(J13/1000,N13/1000,U13,Parametros!$B$14)</f>
        <v>2.7240101052500765</v>
      </c>
      <c r="AB13" s="138" cm="1">
        <f t="array" ref="AB13">hidro_findTheta(K13/1000,N13/1000,U13,Parametros!$B$14)</f>
        <v>2.8212137844783651</v>
      </c>
      <c r="AC13" s="137">
        <f t="shared" si="18"/>
        <v>0.27240101052500765</v>
      </c>
      <c r="AD13" s="138">
        <f t="shared" si="19"/>
        <v>0.28212137844783652</v>
      </c>
      <c r="AE13" s="121">
        <f t="shared" si="20"/>
        <v>0.39636121168858529</v>
      </c>
      <c r="AF13" s="122">
        <f t="shared" si="21"/>
        <v>0.42024739064183014</v>
      </c>
      <c r="AG13" s="121">
        <f t="shared" si="4"/>
        <v>2.6389330977783416</v>
      </c>
      <c r="AH13" s="122">
        <f t="shared" si="22"/>
        <v>2.7153841843003677</v>
      </c>
      <c r="AI13" s="121">
        <f t="shared" si="23"/>
        <v>80.085897094352248</v>
      </c>
      <c r="AJ13" s="122">
        <f t="shared" si="24"/>
        <v>82.943685263663937</v>
      </c>
    </row>
    <row r="14" spans="1:73" s="49" customFormat="1" ht="16.2" thickBot="1" x14ac:dyDescent="0.35">
      <c r="A14" s="68" t="s">
        <v>83</v>
      </c>
      <c r="B14" s="72" t="str">
        <f>INDEX(Pipe[],MATCH(A14,Pipe[Nome],0),2)</f>
        <v>CV-19</v>
      </c>
      <c r="C14" s="73" t="str">
        <f>INDEX(Pipe[],MATCH(A14,Pipe[Nome],0),3)</f>
        <v>CV-21</v>
      </c>
      <c r="D14" s="80">
        <f>INDEX(CV[],MATCH(B14,CV[Nome],0),4)</f>
        <v>678.173</v>
      </c>
      <c r="E14" s="81">
        <f>INDEX(CV[],MATCH(C14,CV[Nome],0),4)</f>
        <v>677.70299999999997</v>
      </c>
      <c r="F14" s="90">
        <f>INDEX(Pipe[],MATCH(A14,Pipe[Nome],0),8)</f>
        <v>10.872999999999999</v>
      </c>
      <c r="G14" s="86">
        <v>30.688738205443535</v>
      </c>
      <c r="H14" s="61">
        <v>34.188780558862646</v>
      </c>
      <c r="I14" s="93">
        <f>Parametros!$B$19*F14/1000*N14/10</f>
        <v>1.2584490740740737E-3</v>
      </c>
      <c r="J14" s="97">
        <f t="shared" si="5"/>
        <v>30.688738205443535</v>
      </c>
      <c r="K14" s="98">
        <f t="shared" si="6"/>
        <v>34.188780558862646</v>
      </c>
      <c r="L14" s="102">
        <f t="shared" si="7"/>
        <v>200</v>
      </c>
      <c r="M14" s="62">
        <f t="shared" si="16"/>
        <v>171.14600599577301</v>
      </c>
      <c r="N14" s="103">
        <v>200</v>
      </c>
      <c r="O14" s="112">
        <f t="shared" si="0"/>
        <v>4.3226340476411967E-2</v>
      </c>
      <c r="P14" s="63" cm="1">
        <f t="array" ref="P14">hidro_slopeMinH(K14/1000,N14/1000,Parametros!$B$13,Parametros!$B$14)</f>
        <v>1.6459833692336903E-2</v>
      </c>
      <c r="Q14" s="63" cm="1">
        <f t="array" ref="Q14">hidro_slopeMinVELOCITY(J14/1000,N14/1000,Parametros!$B$11,Parametros!$B$14)</f>
        <v>1.1865678655925056E-3</v>
      </c>
      <c r="R14" s="63" cm="1">
        <f t="array" ref="R14">hidro_slopeMaxVELOCITY(K14/1000,N14/1000,Parametros!$B$12,Parametros!$B$14)</f>
        <v>3.9262858954387164E-2</v>
      </c>
      <c r="S14" s="63">
        <f>MAX(P14,Q14,Parametros!$B$9)</f>
        <v>1.6459833692336903E-2</v>
      </c>
      <c r="T14" s="63">
        <f>MIN(R14,Parametros!$B$10)</f>
        <v>3.9262858954387164E-2</v>
      </c>
      <c r="U14" s="113">
        <v>0.03</v>
      </c>
      <c r="V14" s="121">
        <f t="shared" si="17"/>
        <v>-4.6419900000000158</v>
      </c>
      <c r="W14" s="122">
        <f t="shared" si="1"/>
        <v>-4.7858000000000427</v>
      </c>
      <c r="X14" s="129">
        <f t="shared" si="2"/>
        <v>682.81498999999997</v>
      </c>
      <c r="Y14" s="130">
        <f t="shared" si="3"/>
        <v>682.48879999999997</v>
      </c>
      <c r="Z14" s="6"/>
      <c r="AA14" s="137" cm="1">
        <f t="array" ref="AA14">hidro_findTheta(J14/1000,N14/1000,U14,Parametros!$B$14)</f>
        <v>2.7268245052780817</v>
      </c>
      <c r="AB14" s="138" cm="1">
        <f t="array" ref="AB14">hidro_findTheta(K14/1000,N14/1000,U14,Parametros!$B$14)</f>
        <v>2.8256773317003359</v>
      </c>
      <c r="AC14" s="137">
        <f t="shared" si="18"/>
        <v>0.27268245052780821</v>
      </c>
      <c r="AD14" s="138">
        <f t="shared" si="19"/>
        <v>0.28256773317003359</v>
      </c>
      <c r="AE14" s="121">
        <f t="shared" si="20"/>
        <v>0.39704963341719124</v>
      </c>
      <c r="AF14" s="122">
        <f t="shared" si="21"/>
        <v>0.4213491885455995</v>
      </c>
      <c r="AG14" s="121">
        <f t="shared" si="4"/>
        <v>2.6412015433562841</v>
      </c>
      <c r="AH14" s="122">
        <f t="shared" si="22"/>
        <v>2.7187997539859987</v>
      </c>
      <c r="AI14" s="121">
        <f t="shared" si="23"/>
        <v>80.168640455175606</v>
      </c>
      <c r="AJ14" s="122">
        <f t="shared" si="24"/>
        <v>83.074913551989866</v>
      </c>
    </row>
    <row r="15" spans="1:73" s="16" customFormat="1" ht="15.6" x14ac:dyDescent="0.3">
      <c r="A15" s="68" t="s">
        <v>129</v>
      </c>
      <c r="B15" s="72" t="str">
        <f>INDEX(Pipe[],MATCH(A15,Pipe[Nome],0),2)</f>
        <v>CV-21</v>
      </c>
      <c r="C15" s="73" t="str">
        <f>INDEX(Pipe[],MATCH(A15,Pipe[Nome],0),3)</f>
        <v>CV-24</v>
      </c>
      <c r="D15" s="80">
        <f>INDEX(CV[],MATCH(B15,CV[Nome],0),4)</f>
        <v>677.70299999999997</v>
      </c>
      <c r="E15" s="81">
        <f>INDEX(CV[],MATCH(C15,CV[Nome],0),4)</f>
        <v>676.57399999999996</v>
      </c>
      <c r="F15" s="90">
        <f>INDEX(Pipe[],MATCH(A15,Pipe[Nome],0),8)</f>
        <v>19.587</v>
      </c>
      <c r="G15" s="86">
        <v>30.850510261596881</v>
      </c>
      <c r="H15" s="61">
        <v>34.455719969921191</v>
      </c>
      <c r="I15" s="93">
        <f>Parametros!$B$19*F15/1000*N15/10</f>
        <v>2.8337673611111111E-3</v>
      </c>
      <c r="J15" s="97">
        <f t="shared" si="5"/>
        <v>30.850510261596881</v>
      </c>
      <c r="K15" s="98">
        <f t="shared" si="6"/>
        <v>34.455719969921191</v>
      </c>
      <c r="L15" s="102">
        <f t="shared" si="7"/>
        <v>200</v>
      </c>
      <c r="M15" s="62">
        <f t="shared" si="16"/>
        <v>161.9554353914863</v>
      </c>
      <c r="N15" s="103">
        <v>250</v>
      </c>
      <c r="O15" s="112">
        <f t="shared" si="0"/>
        <v>5.7640271608721046E-2</v>
      </c>
      <c r="P15" s="63" cm="1">
        <f t="array" ref="P15">hidro_slopeMinH(K15/1000,N15/1000,Parametros!$B$13,Parametros!$B$14)</f>
        <v>5.0854276149315033E-3</v>
      </c>
      <c r="Q15" s="63" cm="1">
        <f t="array" ref="Q15">hidro_slopeMinVELOCITY(J15/1000,N15/1000,Parametros!$B$11,Parametros!$B$14)</f>
        <v>1.1114414436528836E-3</v>
      </c>
      <c r="R15" s="63" cm="1">
        <f t="array" ref="R15">hidro_slopeMaxVELOCITY(K15/1000,N15/1000,Parametros!$B$12,Parametros!$B$14)</f>
        <v>4.0933909314271898E-2</v>
      </c>
      <c r="S15" s="63">
        <f>MAX(P15,Q15,Parametros!$B$9)</f>
        <v>5.0854276149315033E-3</v>
      </c>
      <c r="T15" s="63">
        <f>MIN(R15,Parametros!$B$10)</f>
        <v>4.0933909314271898E-2</v>
      </c>
      <c r="U15" s="113">
        <v>4.0899999999999999E-2</v>
      </c>
      <c r="V15" s="121">
        <f t="shared" si="17"/>
        <v>-4.7858000000000427</v>
      </c>
      <c r="W15" s="122">
        <f t="shared" si="1"/>
        <v>-5.1136917000000617</v>
      </c>
      <c r="X15" s="129">
        <f t="shared" si="2"/>
        <v>682.48879999999997</v>
      </c>
      <c r="Y15" s="130">
        <f t="shared" si="3"/>
        <v>681.68769170000007</v>
      </c>
      <c r="Z15" s="6"/>
      <c r="AA15" s="137" cm="1">
        <f t="array" ref="AA15">hidro_findTheta(J15/1000,N15/1000,U15,Parametros!$B$14)</f>
        <v>2.1794197551847576</v>
      </c>
      <c r="AB15" s="138" cm="1">
        <f t="array" ref="AB15">hidro_findTheta(K15/1000,N15/1000,U15,Parametros!$B$14)</f>
        <v>2.2491672310245572</v>
      </c>
      <c r="AC15" s="137">
        <f t="shared" si="18"/>
        <v>0.2724274693980947</v>
      </c>
      <c r="AD15" s="138">
        <f t="shared" si="19"/>
        <v>0.28114590387806965</v>
      </c>
      <c r="AE15" s="121">
        <f t="shared" si="20"/>
        <v>0.26862871112857811</v>
      </c>
      <c r="AF15" s="122">
        <f t="shared" si="21"/>
        <v>0.28422391518003576</v>
      </c>
      <c r="AG15" s="121">
        <f t="shared" si="4"/>
        <v>2.9057483699161013</v>
      </c>
      <c r="AH15" s="122">
        <f t="shared" si="22"/>
        <v>2.999060647085575</v>
      </c>
      <c r="AI15" s="121">
        <f t="shared" si="23"/>
        <v>109.19437828414431</v>
      </c>
      <c r="AJ15" s="122">
        <f t="shared" si="24"/>
        <v>112.68890119240787</v>
      </c>
    </row>
    <row r="16" spans="1:73" s="16" customFormat="1" ht="15.6" x14ac:dyDescent="0.3">
      <c r="A16" s="68" t="s">
        <v>131</v>
      </c>
      <c r="B16" s="72" t="str">
        <f>INDEX(Pipe[],MATCH(A16,Pipe[Nome],0),2)</f>
        <v>CV-24</v>
      </c>
      <c r="C16" s="73" t="str">
        <f>INDEX(Pipe[],MATCH(A16,Pipe[Nome],0),3)</f>
        <v>CV-26</v>
      </c>
      <c r="D16" s="80">
        <f>INDEX(CV[],MATCH(B16,CV[Nome],0),4)</f>
        <v>676.57399999999996</v>
      </c>
      <c r="E16" s="81">
        <f>INDEX(CV[],MATCH(C16,CV[Nome],0),4)</f>
        <v>675.12</v>
      </c>
      <c r="F16" s="90">
        <f>INDEX(Pipe[],MATCH(A16,Pipe[Nome],0),8)</f>
        <v>23.908999999999999</v>
      </c>
      <c r="G16" s="86">
        <v>30.920890703064469</v>
      </c>
      <c r="H16" s="61">
        <v>34.570381402927808</v>
      </c>
      <c r="I16" s="93">
        <f>Parametros!$B$19*F16/1000*N16/10</f>
        <v>3.4590567129629628E-3</v>
      </c>
      <c r="J16" s="97">
        <f t="shared" si="5"/>
        <v>30.920890703064469</v>
      </c>
      <c r="K16" s="98">
        <f t="shared" si="6"/>
        <v>34.570381402927808</v>
      </c>
      <c r="L16" s="102">
        <f t="shared" si="7"/>
        <v>200</v>
      </c>
      <c r="M16" s="62">
        <f t="shared" si="16"/>
        <v>162.23178001945183</v>
      </c>
      <c r="N16" s="103">
        <v>250</v>
      </c>
      <c r="O16" s="112">
        <f t="shared" si="0"/>
        <v>6.0813919444558572E-2</v>
      </c>
      <c r="P16" s="63" cm="1">
        <f t="array" ref="P16">hidro_slopeMinH(K16/1000,N16/1000,Parametros!$B$13,Parametros!$B$14)</f>
        <v>5.1193304118989161E-3</v>
      </c>
      <c r="Q16" s="63" cm="1">
        <f t="array" ref="Q16">hidro_slopeMinVELOCITY(J16/1000,N16/1000,Parametros!$B$11,Parametros!$B$14)</f>
        <v>1.1123344481971489E-3</v>
      </c>
      <c r="R16" s="63" cm="1">
        <f t="array" ref="R16">hidro_slopeMaxVELOCITY(K16/1000,N16/1000,Parametros!$B$12,Parametros!$B$14)</f>
        <v>4.0825588608112764E-2</v>
      </c>
      <c r="S16" s="63">
        <f>MAX(P16,Q16,Parametros!$B$9)</f>
        <v>5.1193304118989161E-3</v>
      </c>
      <c r="T16" s="63">
        <f>MIN(R16,Parametros!$B$10)</f>
        <v>4.0825588608112764E-2</v>
      </c>
      <c r="U16" s="113">
        <v>4.0800000000000003E-2</v>
      </c>
      <c r="V16" s="121">
        <f t="shared" si="17"/>
        <v>-5.1136917000000617</v>
      </c>
      <c r="W16" s="122">
        <f t="shared" si="1"/>
        <v>-5.5922045000000127</v>
      </c>
      <c r="X16" s="129">
        <f t="shared" si="2"/>
        <v>681.68769170000007</v>
      </c>
      <c r="Y16" s="130">
        <f t="shared" si="3"/>
        <v>680.71220449999998</v>
      </c>
      <c r="Z16" s="6"/>
      <c r="AA16" s="137" cm="1">
        <f t="array" ref="AA16">hidro_findTheta(J16/1000,N16/1000,U16,Parametros!$B$14)</f>
        <v>2.18158122872146</v>
      </c>
      <c r="AB16" s="138" cm="1">
        <f t="array" ref="AB16">hidro_findTheta(K16/1000,N16/1000,U16,Parametros!$B$14)</f>
        <v>2.2521066803141743</v>
      </c>
      <c r="AC16" s="137">
        <f t="shared" si="18"/>
        <v>0.2726976535901825</v>
      </c>
      <c r="AD16" s="138">
        <f t="shared" si="19"/>
        <v>0.28151333503927178</v>
      </c>
      <c r="AE16" s="121">
        <f t="shared" si="20"/>
        <v>0.26910787878297449</v>
      </c>
      <c r="AF16" s="122">
        <f t="shared" si="21"/>
        <v>0.28488705845776707</v>
      </c>
      <c r="AG16" s="121">
        <f t="shared" si="4"/>
        <v>2.9051108946584137</v>
      </c>
      <c r="AH16" s="122">
        <f t="shared" si="22"/>
        <v>2.9992768601789273</v>
      </c>
      <c r="AI16" s="121">
        <f t="shared" si="23"/>
        <v>109.03542981149859</v>
      </c>
      <c r="AJ16" s="122">
        <f t="shared" si="24"/>
        <v>112.56029188210243</v>
      </c>
    </row>
    <row r="17" spans="1:36" s="49" customFormat="1" ht="16.2" thickBot="1" x14ac:dyDescent="0.35">
      <c r="A17" s="68" t="s">
        <v>133</v>
      </c>
      <c r="B17" s="72" t="str">
        <f>INDEX(Pipe[],MATCH(A17,Pipe[Nome],0),2)</f>
        <v>CV-26</v>
      </c>
      <c r="C17" s="73" t="str">
        <f>INDEX(Pipe[],MATCH(A17,Pipe[Nome],0),3)</f>
        <v>CV-27</v>
      </c>
      <c r="D17" s="80">
        <f>INDEX(CV[],MATCH(B17,CV[Nome],0),4)</f>
        <v>675.12</v>
      </c>
      <c r="E17" s="81">
        <f>INDEX(CV[],MATCH(C17,CV[Nome],0),4)</f>
        <v>673.43600000000004</v>
      </c>
      <c r="F17" s="90">
        <f>INDEX(Pipe[],MATCH(A17,Pipe[Nome],0),8)</f>
        <v>27.832000000000001</v>
      </c>
      <c r="G17" s="86">
        <v>31.134046650793046</v>
      </c>
      <c r="H17" s="61">
        <v>34.921915449215845</v>
      </c>
      <c r="I17" s="93">
        <f>Parametros!$B$19*F17/1000*N17/10</f>
        <v>4.0266203703703696E-3</v>
      </c>
      <c r="J17" s="97">
        <f t="shared" si="5"/>
        <v>31.134046650793046</v>
      </c>
      <c r="K17" s="98">
        <f t="shared" si="6"/>
        <v>34.921915449215845</v>
      </c>
      <c r="L17" s="102">
        <f t="shared" si="7"/>
        <v>200</v>
      </c>
      <c r="M17" s="62">
        <f t="shared" si="16"/>
        <v>163.08150580348541</v>
      </c>
      <c r="N17" s="103">
        <v>250</v>
      </c>
      <c r="O17" s="112">
        <f t="shared" si="0"/>
        <v>6.0505892497843099E-2</v>
      </c>
      <c r="P17" s="63" cm="1">
        <f t="array" ref="P17">hidro_slopeMinH(K17/1000,N17/1000,Parametros!$B$13,Parametros!$B$14)</f>
        <v>5.2239730977175396E-3</v>
      </c>
      <c r="Q17" s="63" cm="1">
        <f t="array" ref="Q17">hidro_slopeMinVELOCITY(J17/1000,N17/1000,Parametros!$B$11,Parametros!$B$14)</f>
        <v>1.1143097213879797E-3</v>
      </c>
      <c r="R17" s="63" cm="1">
        <f t="array" ref="R17">hidro_slopeMaxVELOCITY(K17/1000,N17/1000,Parametros!$B$12,Parametros!$B$14)</f>
        <v>4.0497728550781389E-2</v>
      </c>
      <c r="S17" s="63">
        <f>MAX(P17,Q17,Parametros!$B$9)</f>
        <v>5.2239730977175396E-3</v>
      </c>
      <c r="T17" s="63">
        <f>MIN(R17,Parametros!$B$10)</f>
        <v>4.0497728550781389E-2</v>
      </c>
      <c r="U17" s="113">
        <v>4.0489999999999998E-2</v>
      </c>
      <c r="V17" s="121">
        <f t="shared" si="17"/>
        <v>-5.5922045000000127</v>
      </c>
      <c r="W17" s="122">
        <f t="shared" si="1"/>
        <v>-6.1492868199999817</v>
      </c>
      <c r="X17" s="129">
        <f t="shared" si="2"/>
        <v>680.71220449999998</v>
      </c>
      <c r="Y17" s="130">
        <f t="shared" si="3"/>
        <v>679.58528681999996</v>
      </c>
      <c r="Z17" s="6"/>
      <c r="AA17" s="137" cm="1">
        <f t="array" ref="AA17">hidro_findTheta(J17/1000,N17/1000,U17,Parametros!$B$14)</f>
        <v>2.1881931327457971</v>
      </c>
      <c r="AB17" s="138" cm="1">
        <f t="array" ref="AB17">hidro_findTheta(K17/1000,N17/1000,U17,Parametros!$B$14)</f>
        <v>2.2611497091719124</v>
      </c>
      <c r="AC17" s="137">
        <f t="shared" si="18"/>
        <v>0.27352414159322463</v>
      </c>
      <c r="AD17" s="138">
        <f t="shared" si="19"/>
        <v>0.28264371364648905</v>
      </c>
      <c r="AE17" s="121">
        <f t="shared" si="20"/>
        <v>0.27057531482238867</v>
      </c>
      <c r="AF17" s="122">
        <f t="shared" si="21"/>
        <v>0.28693008401619752</v>
      </c>
      <c r="AG17" s="121">
        <f t="shared" si="4"/>
        <v>2.9029310760655678</v>
      </c>
      <c r="AH17" s="122">
        <f t="shared" si="22"/>
        <v>2.9997444029154638</v>
      </c>
      <c r="AI17" s="121">
        <f t="shared" si="23"/>
        <v>108.53492643247472</v>
      </c>
      <c r="AJ17" s="122">
        <f t="shared" si="24"/>
        <v>112.15359086235414</v>
      </c>
    </row>
    <row r="18" spans="1:36" s="16" customFormat="1" ht="15.6" x14ac:dyDescent="0.3">
      <c r="A18" s="68" t="s">
        <v>135</v>
      </c>
      <c r="B18" s="72" t="str">
        <f>INDEX(Pipe[],MATCH(A18,Pipe[Nome],0),2)</f>
        <v>CV-27</v>
      </c>
      <c r="C18" s="73" t="str">
        <f>INDEX(Pipe[],MATCH(A18,Pipe[Nome],0),3)</f>
        <v>CV-29</v>
      </c>
      <c r="D18" s="80">
        <f>INDEX(CV[],MATCH(B18,CV[Nome],0),4)</f>
        <v>673.43600000000004</v>
      </c>
      <c r="E18" s="81">
        <f>INDEX(CV[],MATCH(C18,CV[Nome],0),4)</f>
        <v>672.44</v>
      </c>
      <c r="F18" s="90">
        <f>INDEX(Pipe[],MATCH(A18,Pipe[Nome],0),8)</f>
        <v>20.010999999999999</v>
      </c>
      <c r="G18" s="86">
        <v>46.237323837878691</v>
      </c>
      <c r="H18" s="61">
        <v>51.62161412361003</v>
      </c>
      <c r="I18" s="93">
        <f>Parametros!$B$19*F18/1000*N18/10</f>
        <v>2.8951099537037036E-3</v>
      </c>
      <c r="J18" s="97">
        <f t="shared" si="5"/>
        <v>46.237323837878691</v>
      </c>
      <c r="K18" s="98">
        <f t="shared" si="6"/>
        <v>51.62161412361003</v>
      </c>
      <c r="L18" s="102">
        <f t="shared" si="7"/>
        <v>209.32698578259402</v>
      </c>
      <c r="M18" s="62">
        <f t="shared" si="16"/>
        <v>239.08462431183739</v>
      </c>
      <c r="N18" s="103">
        <v>250</v>
      </c>
      <c r="O18" s="112">
        <f t="shared" si="0"/>
        <v>4.9772625056218128E-2</v>
      </c>
      <c r="P18" s="63" cm="1">
        <f t="array" ref="P18">hidro_slopeMinH(K18/1000,N18/1000,Parametros!$B$13,Parametros!$B$14)</f>
        <v>1.1414791388169879E-2</v>
      </c>
      <c r="Q18" s="63" cm="1">
        <f t="array" ref="Q18">hidro_slopeMinVELOCITY(J18/1000,N18/1000,Parametros!$B$11,Parametros!$B$14)</f>
        <v>9.0157924495488169E-4</v>
      </c>
      <c r="R18" s="63" cm="1">
        <f t="array" ref="R18">hidro_slopeMaxVELOCITY(K18/1000,N18/1000,Parametros!$B$12,Parametros!$B$14)</f>
        <v>2.9913531672728956E-2</v>
      </c>
      <c r="S18" s="63">
        <f>MAX(P18,Q18,Parametros!$B$9)</f>
        <v>1.1414791388169879E-2</v>
      </c>
      <c r="T18" s="63">
        <f>MIN(R18,Parametros!$B$10)</f>
        <v>2.9913531672728956E-2</v>
      </c>
      <c r="U18" s="113">
        <v>1.15E-2</v>
      </c>
      <c r="V18" s="121">
        <v>3.1539999999999999</v>
      </c>
      <c r="W18" s="122">
        <f t="shared" si="1"/>
        <v>2.3881265000000189</v>
      </c>
      <c r="X18" s="129">
        <f t="shared" si="2"/>
        <v>670.28200000000004</v>
      </c>
      <c r="Y18" s="130">
        <f t="shared" si="3"/>
        <v>670.05187350000006</v>
      </c>
      <c r="Z18" s="6"/>
      <c r="AA18" s="137" cm="1">
        <f t="array" ref="AA18">hidro_findTheta(J18/1000,N18/1000,U18,Parametros!$B$14)</f>
        <v>3.0134689279615698</v>
      </c>
      <c r="AB18" s="138" cm="1">
        <f t="array" ref="AB18">hidro_findTheta(K18/1000,N18/1000,U18,Parametros!$B$14)</f>
        <v>3.1372465777568928</v>
      </c>
      <c r="AC18" s="137">
        <f t="shared" si="18"/>
        <v>0.37668361599519623</v>
      </c>
      <c r="AD18" s="138">
        <f t="shared" si="19"/>
        <v>0.39215582221961159</v>
      </c>
      <c r="AE18" s="121">
        <f t="shared" si="20"/>
        <v>0.46799097283990149</v>
      </c>
      <c r="AF18" s="122">
        <f t="shared" si="21"/>
        <v>0.49891348189688206</v>
      </c>
      <c r="AG18" s="121">
        <f t="shared" si="4"/>
        <v>2.0509362628029448</v>
      </c>
      <c r="AH18" s="122">
        <f t="shared" si="22"/>
        <v>2.1090891890464682</v>
      </c>
      <c r="AI18" s="121">
        <f t="shared" si="23"/>
        <v>42.452243522658613</v>
      </c>
      <c r="AJ18" s="122">
        <f t="shared" si="24"/>
        <v>44.195961164150226</v>
      </c>
    </row>
    <row r="19" spans="1:36" s="16" customFormat="1" ht="15.6" x14ac:dyDescent="0.3">
      <c r="A19" s="68" t="s">
        <v>137</v>
      </c>
      <c r="B19" s="72" t="str">
        <f>INDEX(Pipe[],MATCH(A19,Pipe[Nome],0),2)</f>
        <v>CV-29</v>
      </c>
      <c r="C19" s="73" t="str">
        <f>INDEX(Pipe[],MATCH(A19,Pipe[Nome],0),3)</f>
        <v>CV-30</v>
      </c>
      <c r="D19" s="80">
        <f>INDEX(CV[],MATCH(B19,CV[Nome],0),4)</f>
        <v>672.44</v>
      </c>
      <c r="E19" s="81">
        <f>INDEX(CV[],MATCH(C19,CV[Nome],0),4)</f>
        <v>672.18299999999999</v>
      </c>
      <c r="F19" s="90">
        <f>INDEX(Pipe[],MATCH(A19,Pipe[Nome],0),8)</f>
        <v>10.378</v>
      </c>
      <c r="G19" s="86">
        <v>46.238825284637947</v>
      </c>
      <c r="H19" s="61">
        <v>51.623115570369286</v>
      </c>
      <c r="I19" s="93">
        <f>Parametros!$B$19*F19/1000*N19/10</f>
        <v>1.5014467592592592E-3</v>
      </c>
      <c r="J19" s="97">
        <f t="shared" si="5"/>
        <v>46.238825284637947</v>
      </c>
      <c r="K19" s="98">
        <f t="shared" si="6"/>
        <v>51.623115570369286</v>
      </c>
      <c r="L19" s="102">
        <f t="shared" si="7"/>
        <v>209.33002996325791</v>
      </c>
      <c r="M19" s="62">
        <f t="shared" si="16"/>
        <v>239.08723201002044</v>
      </c>
      <c r="N19" s="103">
        <v>250</v>
      </c>
      <c r="O19" s="112">
        <f t="shared" si="0"/>
        <v>2.4763923684723632E-2</v>
      </c>
      <c r="P19" s="63" cm="1">
        <f t="array" ref="P19">hidro_slopeMinH(K19/1000,N19/1000,Parametros!$B$13,Parametros!$B$14)</f>
        <v>1.1415455410443236E-2</v>
      </c>
      <c r="Q19" s="63" cm="1">
        <f t="array" ref="Q19">hidro_slopeMinVELOCITY(J19/1000,N19/1000,Parametros!$B$11,Parametros!$B$14)</f>
        <v>9.0156041515627235E-4</v>
      </c>
      <c r="R19" s="63" cm="1">
        <f t="array" ref="R19">hidro_slopeMaxVELOCITY(K19/1000,N19/1000,Parametros!$B$12,Parametros!$B$14)</f>
        <v>2.9912879903669837E-2</v>
      </c>
      <c r="S19" s="63">
        <f>MAX(P19,Q19,Parametros!$B$9)</f>
        <v>1.1415455410443236E-2</v>
      </c>
      <c r="T19" s="63">
        <f>MIN(R19,Parametros!$B$10)</f>
        <v>2.9912879903669837E-2</v>
      </c>
      <c r="U19" s="113">
        <v>1.15E-2</v>
      </c>
      <c r="V19" s="121">
        <f t="shared" si="17"/>
        <v>2.3881265000000189</v>
      </c>
      <c r="W19" s="122">
        <f t="shared" si="1"/>
        <v>2.2504734999999569</v>
      </c>
      <c r="X19" s="129">
        <f t="shared" si="2"/>
        <v>670.05187350000006</v>
      </c>
      <c r="Y19" s="130">
        <f t="shared" si="3"/>
        <v>669.93252649999999</v>
      </c>
      <c r="Z19" s="6"/>
      <c r="AA19" s="137" cm="1">
        <f t="array" ref="AA19">hidro_findTheta(J19/1000,N19/1000,U19,Parametros!$B$14)</f>
        <v>3.0135038761740711</v>
      </c>
      <c r="AB19" s="138" cm="1">
        <f t="array" ref="AB19">hidro_findTheta(K19/1000,N19/1000,U19,Parametros!$B$14)</f>
        <v>3.1372807369340103</v>
      </c>
      <c r="AC19" s="137">
        <f t="shared" si="18"/>
        <v>0.37668798452175889</v>
      </c>
      <c r="AD19" s="138">
        <f t="shared" si="19"/>
        <v>0.39216009211675129</v>
      </c>
      <c r="AE19" s="121">
        <f t="shared" si="20"/>
        <v>0.46799969197595026</v>
      </c>
      <c r="AF19" s="122">
        <f t="shared" si="21"/>
        <v>0.49892202167115668</v>
      </c>
      <c r="AG19" s="121">
        <f t="shared" si="4"/>
        <v>2.0509533880425463</v>
      </c>
      <c r="AH19" s="122">
        <f t="shared" si="22"/>
        <v>2.1091045407337901</v>
      </c>
      <c r="AI19" s="121">
        <f t="shared" si="23"/>
        <v>42.452735855602228</v>
      </c>
      <c r="AJ19" s="122">
        <f t="shared" si="24"/>
        <v>44.196442381557866</v>
      </c>
    </row>
    <row r="20" spans="1:36" s="56" customFormat="1" ht="15.6" x14ac:dyDescent="0.3">
      <c r="A20" s="69"/>
      <c r="B20" s="74"/>
      <c r="C20" s="75"/>
      <c r="D20" s="82"/>
      <c r="E20" s="83"/>
      <c r="F20" s="91"/>
      <c r="G20" s="87"/>
      <c r="H20" s="65"/>
      <c r="I20" s="94"/>
      <c r="J20" s="82"/>
      <c r="K20" s="83"/>
      <c r="L20" s="104"/>
      <c r="M20" s="64"/>
      <c r="N20" s="105"/>
      <c r="O20" s="114"/>
      <c r="P20" s="66"/>
      <c r="Q20" s="66"/>
      <c r="R20" s="66"/>
      <c r="S20" s="66"/>
      <c r="T20" s="66"/>
      <c r="U20" s="115"/>
      <c r="V20" s="123"/>
      <c r="W20" s="144"/>
      <c r="X20" s="131"/>
      <c r="Y20" s="132"/>
      <c r="Z20" s="55"/>
      <c r="AA20" s="139"/>
      <c r="AB20" s="140"/>
      <c r="AC20" s="139"/>
      <c r="AD20" s="140"/>
      <c r="AE20" s="123"/>
      <c r="AF20" s="124"/>
      <c r="AG20" s="123"/>
      <c r="AH20" s="124"/>
      <c r="AI20" s="123"/>
      <c r="AJ20" s="124"/>
    </row>
    <row r="21" spans="1:36" s="16" customFormat="1" ht="15.6" x14ac:dyDescent="0.3">
      <c r="A21" s="68" t="s">
        <v>118</v>
      </c>
      <c r="B21" s="72" t="str">
        <f>INDEX(Pipe[],MATCH(A21,Pipe[Nome],0),3)</f>
        <v>CV-39</v>
      </c>
      <c r="C21" s="73" t="str">
        <f>INDEX(Pipe[],MATCH(A21,Pipe[Nome],0),2)</f>
        <v>CV-36</v>
      </c>
      <c r="D21" s="80">
        <f>INDEX(CV[],MATCH(B21,CV[Nome],0),4)</f>
        <v>676.19100000000003</v>
      </c>
      <c r="E21" s="81">
        <f>INDEX(CV[],MATCH(C21,CV[Nome],0),4)</f>
        <v>675.48</v>
      </c>
      <c r="F21" s="90">
        <f>INDEX(Pipe[],MATCH(A21,Pipe[Nome],0),8)</f>
        <v>27.088000000000001</v>
      </c>
      <c r="G21" s="86">
        <v>15.187168993260407</v>
      </c>
      <c r="H21" s="61">
        <v>16.838941719992739</v>
      </c>
      <c r="I21" s="93">
        <f>Parametros!$B$19*F21/1000*N21/10</f>
        <v>3.1351851851851853E-3</v>
      </c>
      <c r="J21" s="97">
        <f>G21</f>
        <v>15.187168993260407</v>
      </c>
      <c r="K21" s="98">
        <f>H21</f>
        <v>16.838941719992739</v>
      </c>
      <c r="L21" s="102">
        <f t="shared" si="7"/>
        <v>200</v>
      </c>
      <c r="M21" s="62">
        <f t="shared" si="16"/>
        <v>131.22858990379001</v>
      </c>
      <c r="N21" s="103">
        <v>200</v>
      </c>
      <c r="O21" s="112">
        <f t="shared" si="0"/>
        <v>2.6247784997047132E-2</v>
      </c>
      <c r="P21" s="63" cm="1">
        <f t="array" ref="P21">hidro_slopeMinH(K21/1000,N21/1000,Parametros!$B$13,Parametros!$B$14)</f>
        <v>3.9928942578254306E-3</v>
      </c>
      <c r="Q21" s="63" cm="1">
        <f t="array" ref="Q21">hidro_slopeMinVELOCITY(J21/1000,N21/1000,Parametros!$B$11,Parametros!$B$14)</f>
        <v>9.7321729959367383E-4</v>
      </c>
      <c r="R21" s="63" cm="1">
        <f t="array" ref="R21">hidro_slopeMaxVELOCITY(K21/1000,N21/1000,Parametros!$B$12,Parametros!$B$14)</f>
        <v>6.854684245103293E-2</v>
      </c>
      <c r="S21" s="63">
        <f>MAX(P21,Q21,Parametros!$B$9)</f>
        <v>3.9928942578254306E-3</v>
      </c>
      <c r="T21" s="63">
        <f>MIN(R21,Parametros!$B$10)</f>
        <v>6.854684245103293E-2</v>
      </c>
      <c r="U21" s="113">
        <v>0.03</v>
      </c>
      <c r="V21" s="123">
        <v>1.19</v>
      </c>
      <c r="W21" s="122">
        <f t="shared" si="1"/>
        <v>1.2916399999999872</v>
      </c>
      <c r="X21" s="129">
        <f t="shared" si="2"/>
        <v>675.00099999999998</v>
      </c>
      <c r="Y21" s="130">
        <f t="shared" si="3"/>
        <v>674.18835999999999</v>
      </c>
      <c r="Z21" s="6"/>
      <c r="AA21" s="137" cm="1">
        <f t="array" ref="AA21">hidro_findTheta(J21/1000,N21/1000,U21,Parametros!$B$14)</f>
        <v>2.2051141382520085</v>
      </c>
      <c r="AB21" s="138" cm="1">
        <f t="array" ref="AB21">hidro_findTheta(K21/1000,N21/1000,U21,Parametros!$B$14)</f>
        <v>2.2713134157408392</v>
      </c>
      <c r="AC21" s="137">
        <f t="shared" si="18"/>
        <v>0.22051141382520087</v>
      </c>
      <c r="AD21" s="138">
        <f t="shared" si="19"/>
        <v>0.22713134157408393</v>
      </c>
      <c r="AE21" s="121">
        <f t="shared" si="20"/>
        <v>0.2743421189289097</v>
      </c>
      <c r="AF21" s="122">
        <f t="shared" si="21"/>
        <v>0.28923149326059355</v>
      </c>
      <c r="AG21" s="121">
        <f t="shared" si="4"/>
        <v>2.1701567571325744</v>
      </c>
      <c r="AH21" s="122">
        <f t="shared" si="22"/>
        <v>2.2350533589578396</v>
      </c>
      <c r="AI21" s="121">
        <f t="shared" si="23"/>
        <v>64.830355664609058</v>
      </c>
      <c r="AJ21" s="122">
        <f t="shared" si="24"/>
        <v>66.776614422780682</v>
      </c>
    </row>
    <row r="22" spans="1:36" s="16" customFormat="1" ht="15.6" x14ac:dyDescent="0.3">
      <c r="A22" s="68" t="s">
        <v>117</v>
      </c>
      <c r="B22" s="72" t="str">
        <f>INDEX(Pipe[],MATCH(A22,Pipe[Nome],0),3)</f>
        <v>CV-36</v>
      </c>
      <c r="C22" s="73" t="str">
        <f>INDEX(Pipe[],MATCH(A22,Pipe[Nome],0),2)</f>
        <v>CV-34</v>
      </c>
      <c r="D22" s="80">
        <f>INDEX(CV[],MATCH(B22,CV[Nome],0),4)</f>
        <v>675.48</v>
      </c>
      <c r="E22" s="81">
        <f>INDEX(CV[],MATCH(C22,CV[Nome],0),4)</f>
        <v>673.55499999999995</v>
      </c>
      <c r="F22" s="90">
        <f>INDEX(Pipe[],MATCH(A22,Pipe[Nome],0),8)</f>
        <v>28.149000000000001</v>
      </c>
      <c r="G22" s="86">
        <v>15.274078710314798</v>
      </c>
      <c r="H22" s="61">
        <v>16.981202676470918</v>
      </c>
      <c r="I22" s="93">
        <f>Parametros!$B$19*F22/1000*N22/10</f>
        <v>3.2579861111111108E-3</v>
      </c>
      <c r="J22" s="97">
        <f t="shared" ref="J22:J24" si="25">G22</f>
        <v>15.274078710314798</v>
      </c>
      <c r="K22" s="98">
        <f t="shared" ref="K22:K24" si="26">H22</f>
        <v>16.981202676470918</v>
      </c>
      <c r="L22" s="102">
        <f t="shared" si="7"/>
        <v>200</v>
      </c>
      <c r="M22" s="62">
        <f t="shared" si="16"/>
        <v>113.87740511237402</v>
      </c>
      <c r="N22" s="103">
        <v>200</v>
      </c>
      <c r="O22" s="112">
        <f t="shared" si="0"/>
        <v>6.8386088315750757E-2</v>
      </c>
      <c r="P22" s="63" cm="1">
        <f t="array" ref="P22">hidro_slopeMinH(K22/1000,N22/1000,Parametros!$B$13,Parametros!$B$14)</f>
        <v>4.0606458340217812E-3</v>
      </c>
      <c r="Q22" s="63" cm="1">
        <f t="array" ref="Q22">hidro_slopeMinVELOCITY(J22/1000,N22/1000,Parametros!$B$11,Parametros!$B$14)</f>
        <v>9.7182724206687531E-4</v>
      </c>
      <c r="R22" s="63" cm="1">
        <f t="array" ref="R22">hidro_slopeMaxVELOCITY(K22/1000,N22/1000,Parametros!$B$12,Parametros!$B$14)</f>
        <v>6.8076861448558568E-2</v>
      </c>
      <c r="S22" s="63">
        <f>MAX(P22,Q22,Parametros!$B$9)</f>
        <v>4.0606458340217812E-3</v>
      </c>
      <c r="T22" s="63">
        <f>MIN(R22,Parametros!$B$10)</f>
        <v>6.8076861448558568E-2</v>
      </c>
      <c r="U22" s="113">
        <v>6.5000000000000002E-2</v>
      </c>
      <c r="V22" s="121">
        <f t="shared" si="17"/>
        <v>1.2916399999999872</v>
      </c>
      <c r="W22" s="122">
        <f t="shared" si="1"/>
        <v>1.1963249999999193</v>
      </c>
      <c r="X22" s="129">
        <f t="shared" si="2"/>
        <v>674.18835999999999</v>
      </c>
      <c r="Y22" s="130">
        <f t="shared" si="3"/>
        <v>672.35867500000006</v>
      </c>
      <c r="Z22" s="6"/>
      <c r="AA22" s="137" cm="1">
        <f t="array" ref="AA22">hidro_findTheta(J22/1000,N22/1000,U22,Parametros!$B$14)</f>
        <v>1.9835285013041815</v>
      </c>
      <c r="AB22" s="138" cm="1">
        <f t="array" ref="AB22">hidro_findTheta(K22/1000,N22/1000,U22,Parametros!$B$14)</f>
        <v>2.0419052866920437</v>
      </c>
      <c r="AC22" s="137">
        <f t="shared" si="18"/>
        <v>0.19835285013041815</v>
      </c>
      <c r="AD22" s="138">
        <f t="shared" si="19"/>
        <v>0.2041905286692044</v>
      </c>
      <c r="AE22" s="121">
        <f t="shared" si="20"/>
        <v>0.22639297597579483</v>
      </c>
      <c r="AF22" s="122">
        <f t="shared" si="21"/>
        <v>0.23872302057386591</v>
      </c>
      <c r="AG22" s="121">
        <f t="shared" si="4"/>
        <v>2.8616536340606786</v>
      </c>
      <c r="AH22" s="122">
        <f t="shared" si="22"/>
        <v>2.9510976212780831</v>
      </c>
      <c r="AI22" s="121">
        <f t="shared" si="23"/>
        <v>126.35076553307636</v>
      </c>
      <c r="AJ22" s="122">
        <f t="shared" si="24"/>
        <v>130.06936676228321</v>
      </c>
    </row>
    <row r="23" spans="1:36" s="16" customFormat="1" ht="15.6" x14ac:dyDescent="0.3">
      <c r="A23" s="68" t="s">
        <v>116</v>
      </c>
      <c r="B23" s="72" t="str">
        <f>INDEX(Pipe[],MATCH(A23,Pipe[Nome],0),3)</f>
        <v>CV-34</v>
      </c>
      <c r="C23" s="73" t="str">
        <f>INDEX(Pipe[],MATCH(A23,Pipe[Nome],0),2)</f>
        <v>CV-32</v>
      </c>
      <c r="D23" s="80">
        <f>INDEX(CV[],MATCH(B23,CV[Nome],0),4)</f>
        <v>673.55499999999995</v>
      </c>
      <c r="E23" s="81">
        <f>INDEX(CV[],MATCH(C23,CV[Nome],0),4)</f>
        <v>672.79700000000003</v>
      </c>
      <c r="F23" s="90">
        <f>INDEX(Pipe[],MATCH(A23,Pipe[Nome],0),8)</f>
        <v>8.6679999999999993</v>
      </c>
      <c r="G23" s="86">
        <v>15.321090403074344</v>
      </c>
      <c r="H23" s="61">
        <v>17.058657550913544</v>
      </c>
      <c r="I23" s="93">
        <f>Parametros!$B$19*F23/1000*N23/10</f>
        <v>1.0032407407407407E-3</v>
      </c>
      <c r="J23" s="97">
        <f t="shared" si="25"/>
        <v>15.321090403074344</v>
      </c>
      <c r="K23" s="98">
        <f t="shared" si="26"/>
        <v>17.058657550913544</v>
      </c>
      <c r="L23" s="102">
        <f t="shared" si="7"/>
        <v>200</v>
      </c>
      <c r="M23" s="62">
        <f t="shared" si="16"/>
        <v>113.17340988776252</v>
      </c>
      <c r="N23" s="103">
        <v>200</v>
      </c>
      <c r="O23" s="112">
        <f t="shared" si="0"/>
        <v>8.7448084910005136E-2</v>
      </c>
      <c r="P23" s="63" cm="1">
        <f t="array" ref="P23">hidro_slopeMinH(K23/1000,N23/1000,Parametros!$B$13,Parametros!$B$14)</f>
        <v>4.0977732517024851E-3</v>
      </c>
      <c r="Q23" s="63" cm="1">
        <f t="array" ref="Q23">hidro_slopeMinVELOCITY(J23/1000,N23/1000,Parametros!$B$11,Parametros!$B$14)</f>
        <v>9.7111102586616824E-4</v>
      </c>
      <c r="R23" s="63" cm="1">
        <f t="array" ref="R23">hidro_slopeMaxVELOCITY(K23/1000,N23/1000,Parametros!$B$12,Parametros!$B$14)</f>
        <v>6.7824103311832445E-2</v>
      </c>
      <c r="S23" s="63">
        <f>MAX(P23,Q23,Parametros!$B$9)</f>
        <v>4.0977732517024851E-3</v>
      </c>
      <c r="T23" s="63">
        <f>MIN(R23,Parametros!$B$10)</f>
        <v>6.7824103311832445E-2</v>
      </c>
      <c r="U23" s="113">
        <v>6.7799999999999999E-2</v>
      </c>
      <c r="V23" s="121">
        <f t="shared" si="17"/>
        <v>1.1963249999999193</v>
      </c>
      <c r="W23" s="122">
        <f t="shared" si="1"/>
        <v>1.0260153999999946</v>
      </c>
      <c r="X23" s="129">
        <f t="shared" si="2"/>
        <v>672.35867500000006</v>
      </c>
      <c r="Y23" s="130">
        <f t="shared" si="3"/>
        <v>671.77098460000002</v>
      </c>
      <c r="Z23" s="6"/>
      <c r="AA23" s="137" cm="1">
        <f t="array" ref="AA23">hidro_findTheta(J23/1000,N23/1000,U23,Parametros!$B$14)</f>
        <v>1.9738309358135206</v>
      </c>
      <c r="AB23" s="138" cm="1">
        <f t="array" ref="AB23">hidro_findTheta(K23/1000,N23/1000,U23,Parametros!$B$14)</f>
        <v>2.0326392744429613</v>
      </c>
      <c r="AC23" s="137">
        <f t="shared" si="18"/>
        <v>0.19738309358135209</v>
      </c>
      <c r="AD23" s="138">
        <f t="shared" si="19"/>
        <v>0.20326392744429614</v>
      </c>
      <c r="AE23" s="121">
        <f t="shared" si="20"/>
        <v>0.22436700237710339</v>
      </c>
      <c r="AF23" s="122">
        <f t="shared" si="21"/>
        <v>0.23675076684553092</v>
      </c>
      <c r="AG23" s="121">
        <f t="shared" si="4"/>
        <v>2.9073493888690747</v>
      </c>
      <c r="AH23" s="122">
        <f t="shared" si="22"/>
        <v>2.9995710384507759</v>
      </c>
      <c r="AI23" s="121">
        <f t="shared" si="23"/>
        <v>131.14922269919359</v>
      </c>
      <c r="AJ23" s="122">
        <f t="shared" si="24"/>
        <v>135.05668395108813</v>
      </c>
    </row>
    <row r="24" spans="1:36" s="16" customFormat="1" ht="15.6" x14ac:dyDescent="0.3">
      <c r="A24" s="68" t="s">
        <v>143</v>
      </c>
      <c r="B24" s="72" t="str">
        <f>INDEX(Pipe[],MATCH(A24,Pipe[Nome],0),3)</f>
        <v>CV-32</v>
      </c>
      <c r="C24" s="73" t="str">
        <f>INDEX(Pipe[],MATCH(A24,Pipe[Nome],0),2)</f>
        <v>CV-30</v>
      </c>
      <c r="D24" s="80">
        <f>INDEX(CV[],MATCH(B24,CV[Nome],0),4)</f>
        <v>672.79700000000003</v>
      </c>
      <c r="E24" s="81">
        <f>INDEX(CV[],MATCH(C24,CV[Nome],0),4)</f>
        <v>672.18299999999999</v>
      </c>
      <c r="F24" s="90">
        <f>INDEX(Pipe[],MATCH(A24,Pipe[Nome],0),8)</f>
        <v>18.984999999999999</v>
      </c>
      <c r="G24" s="86">
        <v>15.436217577810739</v>
      </c>
      <c r="H24" s="61">
        <v>17.24850889887205</v>
      </c>
      <c r="I24" s="93">
        <f>Parametros!$B$19*F24/1000*N24/10</f>
        <v>2.1973379629629626E-3</v>
      </c>
      <c r="J24" s="97">
        <f t="shared" si="25"/>
        <v>15.436217577810739</v>
      </c>
      <c r="K24" s="98">
        <f t="shared" si="26"/>
        <v>17.24850889887205</v>
      </c>
      <c r="L24" s="102">
        <f t="shared" si="7"/>
        <v>200</v>
      </c>
      <c r="M24" s="62">
        <f t="shared" si="16"/>
        <v>125.46316391243145</v>
      </c>
      <c r="N24" s="103">
        <v>200</v>
      </c>
      <c r="O24" s="112">
        <f t="shared" si="0"/>
        <v>3.2341322096393614E-2</v>
      </c>
      <c r="P24" s="63" cm="1">
        <f t="array" ref="P24">hidro_slopeMinH(K24/1000,N24/1000,Parametros!$B$13,Parametros!$B$14)</f>
        <v>4.1894917121179029E-3</v>
      </c>
      <c r="Q24" s="63" cm="1">
        <f t="array" ref="Q24">hidro_slopeMinVELOCITY(J24/1000,N24/1000,Parametros!$B$11,Parametros!$B$14)</f>
        <v>9.694649493325342E-4</v>
      </c>
      <c r="R24" s="63" cm="1">
        <f t="array" ref="R24">hidro_slopeMaxVELOCITY(K24/1000,N24/1000,Parametros!$B$12,Parametros!$B$14)</f>
        <v>6.7213671537472791E-2</v>
      </c>
      <c r="S24" s="63">
        <f>MAX(P24,Q24,Parametros!$B$9)</f>
        <v>4.1894917121179029E-3</v>
      </c>
      <c r="T24" s="63">
        <f>MIN(R24,Parametros!$B$10)</f>
        <v>6.7213671537472791E-2</v>
      </c>
      <c r="U24" s="113">
        <v>0.04</v>
      </c>
      <c r="V24" s="121">
        <v>1.99</v>
      </c>
      <c r="W24" s="122">
        <f t="shared" si="1"/>
        <v>2.1353999999999673</v>
      </c>
      <c r="X24" s="129">
        <f t="shared" si="2"/>
        <v>670.80700000000002</v>
      </c>
      <c r="Y24" s="130">
        <f t="shared" si="3"/>
        <v>670.04759999999999</v>
      </c>
      <c r="Z24" s="6"/>
      <c r="AA24" s="137" cm="1">
        <f t="array" ref="AA24">hidro_findTheta(J24/1000,N24/1000,U24,Parametros!$B$14)</f>
        <v>2.1271519449042571</v>
      </c>
      <c r="AB24" s="138" cm="1">
        <f t="array" ref="AB24">hidro_findTheta(K24/1000,N24/1000,U24,Parametros!$B$14)</f>
        <v>2.1947580291278288</v>
      </c>
      <c r="AC24" s="137">
        <f t="shared" si="18"/>
        <v>0.21271519449042572</v>
      </c>
      <c r="AD24" s="138">
        <f t="shared" si="19"/>
        <v>0.2194758029127829</v>
      </c>
      <c r="AE24" s="121">
        <f t="shared" si="20"/>
        <v>0.25712527820306852</v>
      </c>
      <c r="AF24" s="122">
        <f t="shared" si="21"/>
        <v>0.27203479887029375</v>
      </c>
      <c r="AG24" s="121">
        <f t="shared" si="4"/>
        <v>2.4157466001962504</v>
      </c>
      <c r="AH24" s="122">
        <f t="shared" si="22"/>
        <v>2.494022630688761</v>
      </c>
      <c r="AI24" s="121">
        <f t="shared" si="23"/>
        <v>83.384356240246888</v>
      </c>
      <c r="AJ24" s="122">
        <f t="shared" si="24"/>
        <v>86.034514741810895</v>
      </c>
    </row>
    <row r="25" spans="1:36" s="56" customFormat="1" ht="15.6" x14ac:dyDescent="0.3">
      <c r="A25" s="69"/>
      <c r="B25" s="74"/>
      <c r="C25" s="75"/>
      <c r="D25" s="82"/>
      <c r="E25" s="83"/>
      <c r="F25" s="91"/>
      <c r="G25" s="87"/>
      <c r="H25" s="65"/>
      <c r="I25" s="94"/>
      <c r="J25" s="82"/>
      <c r="K25" s="83"/>
      <c r="L25" s="104"/>
      <c r="M25" s="64"/>
      <c r="N25" s="105"/>
      <c r="O25" s="114"/>
      <c r="P25" s="66"/>
      <c r="Q25" s="66"/>
      <c r="R25" s="66"/>
      <c r="S25" s="66"/>
      <c r="T25" s="66"/>
      <c r="U25" s="115"/>
      <c r="V25" s="123"/>
      <c r="W25" s="144"/>
      <c r="X25" s="131"/>
      <c r="Y25" s="132"/>
      <c r="Z25" s="55"/>
      <c r="AA25" s="139"/>
      <c r="AB25" s="140"/>
      <c r="AC25" s="139"/>
      <c r="AD25" s="140"/>
      <c r="AE25" s="123"/>
      <c r="AF25" s="124"/>
      <c r="AG25" s="123"/>
      <c r="AH25" s="124"/>
      <c r="AI25" s="123"/>
      <c r="AJ25" s="124"/>
    </row>
    <row r="26" spans="1:36" ht="15.6" x14ac:dyDescent="0.3">
      <c r="A26" s="68" t="s">
        <v>108</v>
      </c>
      <c r="B26" s="72" t="str">
        <f>INDEX(Pipe[],MATCH(A26,Pipe[Nome],0),2)</f>
        <v>CV-40</v>
      </c>
      <c r="C26" s="73" t="str">
        <f>INDEX(Pipe[],MATCH(A26,Pipe[Nome],0),3)</f>
        <v>CV-41</v>
      </c>
      <c r="D26" s="80">
        <f>INDEX(CV[],MATCH(B26,CV[Nome],0),4)</f>
        <v>676.23900000000003</v>
      </c>
      <c r="E26" s="81">
        <f>INDEX(CV[],MATCH(C26,CV[Nome],0),4)</f>
        <v>674.11199999999997</v>
      </c>
      <c r="F26" s="90">
        <f>INDEX(Pipe[],MATCH(A26,Pipe[Nome],0),8)</f>
        <v>47.625</v>
      </c>
      <c r="G26" s="86">
        <v>0.13935492228702961</v>
      </c>
      <c r="H26" s="61">
        <v>0.22791690536508782</v>
      </c>
      <c r="I26" s="93">
        <f>Parametros!$B$19*F26/1000*N26/10</f>
        <v>5.5121527777777773E-3</v>
      </c>
      <c r="J26" s="97">
        <f>G26</f>
        <v>0.13935492228702961</v>
      </c>
      <c r="K26" s="98">
        <f>H26</f>
        <v>0.22791690536508782</v>
      </c>
      <c r="L26" s="102">
        <f t="shared" ref="L26:L38" si="27">MAX(hidro_minimumDiameter(K26/1000,0.5,15/100,3,125),200)</f>
        <v>200</v>
      </c>
      <c r="M26" s="62">
        <f t="shared" ref="M26:M38" si="28">0.3145*(K26/1000/(SQRT(U26)))^(3/8)*1000</f>
        <v>24.257955302557271</v>
      </c>
      <c r="N26" s="103">
        <v>200</v>
      </c>
      <c r="O26" s="112">
        <f t="shared" ref="O26:O38" si="29">(D26-E26)/F26</f>
        <v>4.4661417322836038E-2</v>
      </c>
      <c r="P26" s="63" cm="1">
        <f t="array" ref="P26">hidro_slopeMinH(K26/1000,N26/1000,Parametros!$B$13,Parametros!$B$14)</f>
        <v>7.3149489627829471E-7</v>
      </c>
      <c r="Q26" s="63" cm="1">
        <f t="array" ref="Q26">hidro_slopeMinVELOCITY(J26/1000,N26/1000,Parametros!$B$11,Parametros!$B$14)</f>
        <v>4.2866034901464359E-2</v>
      </c>
      <c r="R26" s="63" cm="1">
        <f t="array" ref="R26">hidro_slopeMaxVELOCITY(K26/1000,N26/1000,Parametros!$B$12,Parametros!$B$14)</f>
        <v>2.8789490039646801</v>
      </c>
      <c r="S26" s="63">
        <f>MAX(P26,Q26,Parametros!$B$9)</f>
        <v>4.2866034901464359E-2</v>
      </c>
      <c r="T26" s="63">
        <f>MIN(R26,Parametros!$B$10)</f>
        <v>0.15</v>
      </c>
      <c r="U26" s="113">
        <v>4.4699999999999997E-2</v>
      </c>
      <c r="V26" s="123">
        <v>1.2</v>
      </c>
      <c r="W26" s="122">
        <f t="shared" ref="W26:W38" si="30">(E26-D26)+V26+F26*U26</f>
        <v>1.2018374999999335</v>
      </c>
      <c r="X26" s="129">
        <f t="shared" ref="X26:X33" si="31">D26-V26</f>
        <v>675.03899999999999</v>
      </c>
      <c r="Y26" s="130">
        <f t="shared" ref="Y26:Y33" si="32">E26-W26</f>
        <v>672.91016250000007</v>
      </c>
      <c r="Z26" s="6"/>
      <c r="AA26" s="137" cm="1">
        <f t="array" ref="AA26">hidro_findTheta(J26/1000,N26/1000,U26,Parametros!$B$14)</f>
        <v>0.6547166215512642</v>
      </c>
      <c r="AB26" s="138" cm="1">
        <f t="array" ref="AB26">hidro_findTheta(K26/1000,N26/1000,U26,Parametros!$B$14)</f>
        <v>0.73500644311181185</v>
      </c>
      <c r="AC26" s="137">
        <f t="shared" ref="AC26:AC38" si="33">(N26/1000)*AA26/2</f>
        <v>6.5471662155126426E-2</v>
      </c>
      <c r="AD26" s="138">
        <f t="shared" ref="AD26:AD38" si="34">(N26/1000)*AB26/2</f>
        <v>7.3500644311181182E-2</v>
      </c>
      <c r="AE26" s="121">
        <f t="shared" ref="AE26:AE38" si="35">(1-COS(AA26/2))/2</f>
        <v>2.6552468738805735E-2</v>
      </c>
      <c r="AF26" s="122">
        <f t="shared" ref="AF26:AF38" si="36">(1-COS(AB26/2))/2</f>
        <v>3.3386343866938062E-2</v>
      </c>
      <c r="AG26" s="121">
        <f t="shared" ref="AG26:AG38" si="37">(J26/1000)/(((N26/1000)^2/8)*(AA26-SIN(AA26)))</f>
        <v>0.6087742354658765</v>
      </c>
      <c r="AH26" s="122">
        <f t="shared" ref="AH26:AH38" si="38">(K26/1000)/(((N26/1000)^2/8)*(AB26-SIN(AB26)))</f>
        <v>0.70765705797355727</v>
      </c>
      <c r="AI26" s="121">
        <f t="shared" ref="AI26:AI38" si="39">9800*AC26*$U26</f>
        <v>28.680516323674681</v>
      </c>
      <c r="AJ26" s="122">
        <f t="shared" ref="AJ26:AJ38" si="40">9800*AD26*$U26</f>
        <v>32.197692246956031</v>
      </c>
    </row>
    <row r="27" spans="1:36" ht="15.6" x14ac:dyDescent="0.3">
      <c r="A27" s="68" t="s">
        <v>109</v>
      </c>
      <c r="B27" s="72" t="str">
        <f>INDEX(Pipe[],MATCH(A27,Pipe[Nome],0),2)</f>
        <v>CV-41</v>
      </c>
      <c r="C27" s="73" t="str">
        <f>INDEX(Pipe[],MATCH(A27,Pipe[Nome],0),3)</f>
        <v>CV-43</v>
      </c>
      <c r="D27" s="80">
        <f>INDEX(CV[],MATCH(B27,CV[Nome],0),4)</f>
        <v>674.11199999999997</v>
      </c>
      <c r="E27" s="81">
        <f>INDEX(CV[],MATCH(C27,CV[Nome],0),4)</f>
        <v>673.14</v>
      </c>
      <c r="F27" s="90">
        <f>INDEX(Pipe[],MATCH(A27,Pipe[Nome],0),8)</f>
        <v>17.815000000000001</v>
      </c>
      <c r="G27" s="86">
        <v>0.17487753596063887</v>
      </c>
      <c r="H27" s="61">
        <v>0.2855800148082116</v>
      </c>
      <c r="I27" s="93">
        <f>Parametros!$B$19*F27/1000*N27/10</f>
        <v>2.0619212962962965E-3</v>
      </c>
      <c r="J27" s="97">
        <f t="shared" ref="J27:J33" si="41">G27</f>
        <v>0.17487753596063887</v>
      </c>
      <c r="K27" s="98">
        <f t="shared" ref="K27:K33" si="42">H27</f>
        <v>0.2855800148082116</v>
      </c>
      <c r="L27" s="102">
        <f t="shared" si="27"/>
        <v>200</v>
      </c>
      <c r="M27" s="62">
        <f t="shared" si="28"/>
        <v>25.426990377626009</v>
      </c>
      <c r="N27" s="103">
        <v>200</v>
      </c>
      <c r="O27" s="112">
        <f t="shared" si="29"/>
        <v>5.4560763401626716E-2</v>
      </c>
      <c r="P27" s="63" cm="1">
        <f t="array" ref="P27">hidro_slopeMinH(K27/1000,N27/1000,Parametros!$B$13,Parametros!$B$14)</f>
        <v>1.148454635384381E-6</v>
      </c>
      <c r="Q27" s="63" cm="1">
        <f t="array" ref="Q27">hidro_slopeMinVELOCITY(J27/1000,N27/1000,Parametros!$B$11,Parametros!$B$14)</f>
        <v>3.5087601918300897E-2</v>
      </c>
      <c r="R27" s="63" cm="1">
        <f t="array" ref="R27">hidro_slopeMaxVELOCITY(K27/1000,N27/1000,Parametros!$B$12,Parametros!$B$14)</f>
        <v>2.3576983825924578</v>
      </c>
      <c r="S27" s="63">
        <f>MAX(P27,Q27,Parametros!$B$9)</f>
        <v>3.5087601918300897E-2</v>
      </c>
      <c r="T27" s="63">
        <f>MIN(R27,Parametros!$B$10)</f>
        <v>0.15</v>
      </c>
      <c r="U27" s="113">
        <v>5.4600000000000003E-2</v>
      </c>
      <c r="V27" s="121">
        <f t="shared" ref="V27:V38" si="43">W26</f>
        <v>1.2018374999999335</v>
      </c>
      <c r="W27" s="122">
        <f t="shared" si="30"/>
        <v>1.2025364999999537</v>
      </c>
      <c r="X27" s="129">
        <f t="shared" si="31"/>
        <v>672.91016250000007</v>
      </c>
      <c r="Y27" s="130">
        <f t="shared" si="32"/>
        <v>671.93746350000004</v>
      </c>
      <c r="Z27" s="6"/>
      <c r="AA27" s="137" cm="1">
        <f t="array" ref="AA27">hidro_findTheta(J27/1000,N27/1000,U27,Parametros!$B$14)</f>
        <v>0.67453573574833037</v>
      </c>
      <c r="AB27" s="138" cm="1">
        <f t="array" ref="AB27">hidro_findTheta(K27/1000,N27/1000,U27,Parametros!$B$14)</f>
        <v>0.75708666094677968</v>
      </c>
      <c r="AC27" s="137">
        <f t="shared" si="33"/>
        <v>6.7453573574833045E-2</v>
      </c>
      <c r="AD27" s="138">
        <f t="shared" si="34"/>
        <v>7.5708666094677968E-2</v>
      </c>
      <c r="AE27" s="121">
        <f t="shared" si="35"/>
        <v>2.8168861711383331E-2</v>
      </c>
      <c r="AF27" s="122">
        <f t="shared" si="36"/>
        <v>3.539802066504999E-2</v>
      </c>
      <c r="AG27" s="121">
        <f t="shared" si="37"/>
        <v>0.69949698376318503</v>
      </c>
      <c r="AH27" s="122">
        <f t="shared" si="38"/>
        <v>0.8126941021862939</v>
      </c>
      <c r="AI27" s="121">
        <f t="shared" si="39"/>
        <v>36.093058148421669</v>
      </c>
      <c r="AJ27" s="122">
        <f t="shared" si="40"/>
        <v>40.510193053940284</v>
      </c>
    </row>
    <row r="28" spans="1:36" ht="15.6" x14ac:dyDescent="0.3">
      <c r="A28" s="68" t="s">
        <v>110</v>
      </c>
      <c r="B28" s="72" t="str">
        <f>INDEX(Pipe[],MATCH(A28,Pipe[Nome],0),2)</f>
        <v>CV-43</v>
      </c>
      <c r="C28" s="73" t="str">
        <f>INDEX(Pipe[],MATCH(A28,Pipe[Nome],0),3)</f>
        <v>CV-44</v>
      </c>
      <c r="D28" s="80">
        <f>INDEX(CV[],MATCH(B28,CV[Nome],0),4)</f>
        <v>673.14</v>
      </c>
      <c r="E28" s="81">
        <f>INDEX(CV[],MATCH(C28,CV[Nome],0),4)</f>
        <v>672.38800000000003</v>
      </c>
      <c r="F28" s="90">
        <f>INDEX(Pipe[],MATCH(A28,Pipe[Nome],0),8)</f>
        <v>13.244999999999999</v>
      </c>
      <c r="G28" s="86">
        <v>15.260062253015034</v>
      </c>
      <c r="H28" s="61">
        <v>16.989315971286391</v>
      </c>
      <c r="I28" s="93">
        <f>Parametros!$B$19*F28/1000*N28/10</f>
        <v>1.5329861111111111E-3</v>
      </c>
      <c r="J28" s="97">
        <f t="shared" si="41"/>
        <v>15.260062253015034</v>
      </c>
      <c r="K28" s="98">
        <f t="shared" si="42"/>
        <v>16.989315971286391</v>
      </c>
      <c r="L28" s="102">
        <f t="shared" si="27"/>
        <v>200</v>
      </c>
      <c r="M28" s="62">
        <f t="shared" si="28"/>
        <v>116.81437694308846</v>
      </c>
      <c r="N28" s="103">
        <v>200</v>
      </c>
      <c r="O28" s="112">
        <f t="shared" si="29"/>
        <v>5.6776141940351285E-2</v>
      </c>
      <c r="P28" s="63" cm="1">
        <f t="array" ref="P28">hidro_slopeMinH(K28/1000,N28/1000,Parametros!$B$13,Parametros!$B$14)</f>
        <v>4.0645269592540327E-3</v>
      </c>
      <c r="Q28" s="63" cm="1">
        <f t="array" ref="Q28">hidro_slopeMinVELOCITY(J28/1000,N28/1000,Parametros!$B$11,Parametros!$B$14)</f>
        <v>9.7204565707087324E-4</v>
      </c>
      <c r="R28" s="63" cm="1">
        <f t="array" ref="R28">hidro_slopeMaxVELOCITY(K28/1000,N28/1000,Parametros!$B$12,Parametros!$B$14)</f>
        <v>6.8050282908872842E-2</v>
      </c>
      <c r="S28" s="63">
        <f>MAX(P28,Q28,Parametros!$B$9)</f>
        <v>4.0645269592540327E-3</v>
      </c>
      <c r="T28" s="63">
        <f>MIN(R28,Parametros!$B$10)</f>
        <v>6.8050282908872842E-2</v>
      </c>
      <c r="U28" s="113">
        <v>5.6800000000000003E-2</v>
      </c>
      <c r="V28" s="121">
        <f t="shared" si="43"/>
        <v>1.2025364999999537</v>
      </c>
      <c r="W28" s="122">
        <f t="shared" si="30"/>
        <v>1.202852500000001</v>
      </c>
      <c r="X28" s="129">
        <f t="shared" si="31"/>
        <v>671.93746350000004</v>
      </c>
      <c r="Y28" s="130">
        <f t="shared" si="32"/>
        <v>671.18514750000008</v>
      </c>
      <c r="Z28" s="6"/>
      <c r="AA28" s="137" cm="1">
        <f t="array" ref="AA28">hidro_findTheta(J28/1000,N28/1000,U28,Parametros!$B$14)</f>
        <v>2.0199002340703882</v>
      </c>
      <c r="AB28" s="138" cm="1">
        <f t="array" ref="AB28">hidro_findTheta(K28/1000,N28/1000,U28,Parametros!$B$14)</f>
        <v>2.0805767883817032</v>
      </c>
      <c r="AC28" s="137">
        <f t="shared" si="33"/>
        <v>0.20199002340703884</v>
      </c>
      <c r="AD28" s="138">
        <f t="shared" si="34"/>
        <v>0.20805767883817033</v>
      </c>
      <c r="AE28" s="121">
        <f t="shared" si="35"/>
        <v>0.23404851840213886</v>
      </c>
      <c r="AF28" s="122">
        <f t="shared" si="36"/>
        <v>0.24701423809227607</v>
      </c>
      <c r="AG28" s="121">
        <f t="shared" si="37"/>
        <v>2.7272910251509281</v>
      </c>
      <c r="AH28" s="122">
        <f t="shared" si="38"/>
        <v>2.8134408361388572</v>
      </c>
      <c r="AI28" s="121">
        <f t="shared" si="39"/>
        <v>112.43572662929411</v>
      </c>
      <c r="AJ28" s="122">
        <f t="shared" si="40"/>
        <v>115.81322634847913</v>
      </c>
    </row>
    <row r="29" spans="1:36" ht="15.6" x14ac:dyDescent="0.3">
      <c r="A29" s="68" t="s">
        <v>111</v>
      </c>
      <c r="B29" s="72" t="str">
        <f>INDEX(Pipe[],MATCH(A29,Pipe[Nome],0),2)</f>
        <v>CV-44</v>
      </c>
      <c r="C29" s="73" t="str">
        <f>INDEX(Pipe[],MATCH(A29,Pipe[Nome],0),3)</f>
        <v>CV-46</v>
      </c>
      <c r="D29" s="80">
        <f>INDEX(CV[],MATCH(B29,CV[Nome],0),4)</f>
        <v>672.38800000000003</v>
      </c>
      <c r="E29" s="81">
        <f>INDEX(CV[],MATCH(C29,CV[Nome],0),4)</f>
        <v>671.31500000000005</v>
      </c>
      <c r="F29" s="90">
        <f>INDEX(Pipe[],MATCH(A29,Pipe[Nome],0),8)</f>
        <v>23.826000000000001</v>
      </c>
      <c r="G29" s="86">
        <v>15.262819891903924</v>
      </c>
      <c r="H29" s="61">
        <v>16.992073610175279</v>
      </c>
      <c r="I29" s="93">
        <f>Parametros!$B$19*F29/1000*N29/10</f>
        <v>2.7576388888888885E-3</v>
      </c>
      <c r="J29" s="97">
        <f t="shared" si="41"/>
        <v>15.262819891903924</v>
      </c>
      <c r="K29" s="98">
        <f t="shared" si="42"/>
        <v>16.992073610175279</v>
      </c>
      <c r="L29" s="102">
        <f t="shared" si="27"/>
        <v>200</v>
      </c>
      <c r="M29" s="62">
        <f t="shared" si="28"/>
        <v>119.64819926565588</v>
      </c>
      <c r="N29" s="103">
        <v>200</v>
      </c>
      <c r="O29" s="112">
        <f t="shared" si="29"/>
        <v>4.5034835893560776E-2</v>
      </c>
      <c r="P29" s="63" cm="1">
        <f t="array" ref="P29">hidro_slopeMinH(K29/1000,N29/1000,Parametros!$B$13,Parametros!$B$14)</f>
        <v>4.0658465423715996E-3</v>
      </c>
      <c r="Q29" s="63" cm="1">
        <f t="array" ref="Q29">hidro_slopeMinVELOCITY(J29/1000,N29/1000,Parametros!$B$11,Parametros!$B$14)</f>
        <v>9.7200250923193063E-4</v>
      </c>
      <c r="R29" s="63" cm="1">
        <f t="array" ref="R29">hidro_slopeMaxVELOCITY(K29/1000,N29/1000,Parametros!$B$12,Parametros!$B$14)</f>
        <v>6.8041254572927951E-2</v>
      </c>
      <c r="S29" s="63">
        <f>MAX(P29,Q29,Parametros!$B$9)</f>
        <v>4.0658465423715996E-3</v>
      </c>
      <c r="T29" s="63">
        <f>MIN(R29,Parametros!$B$10)</f>
        <v>6.8041254572927951E-2</v>
      </c>
      <c r="U29" s="113">
        <v>0.05</v>
      </c>
      <c r="V29" s="121">
        <f t="shared" si="43"/>
        <v>1.202852500000001</v>
      </c>
      <c r="W29" s="122">
        <f t="shared" si="30"/>
        <v>1.3211525000000219</v>
      </c>
      <c r="X29" s="129">
        <f t="shared" si="31"/>
        <v>671.18514750000008</v>
      </c>
      <c r="Y29" s="130">
        <f t="shared" si="32"/>
        <v>669.99384750000002</v>
      </c>
      <c r="Z29" s="6"/>
      <c r="AA29" s="137" cm="1">
        <f t="array" ref="AA29">hidro_findTheta(J29/1000,N29/1000,U29,Parametros!$B$14)</f>
        <v>2.0557387508050526</v>
      </c>
      <c r="AB29" s="138" cm="1">
        <f t="array" ref="AB29">hidro_findTheta(K29/1000,N29/1000,U29,Parametros!$B$14)</f>
        <v>2.1179268526162303</v>
      </c>
      <c r="AC29" s="137">
        <f t="shared" si="33"/>
        <v>0.20557387508050529</v>
      </c>
      <c r="AD29" s="138">
        <f t="shared" si="34"/>
        <v>0.21179268526162304</v>
      </c>
      <c r="AE29" s="121">
        <f t="shared" si="35"/>
        <v>0.24167787131182428</v>
      </c>
      <c r="AF29" s="122">
        <f t="shared" si="36"/>
        <v>0.25511196010063919</v>
      </c>
      <c r="AG29" s="121">
        <f t="shared" si="37"/>
        <v>2.6067187293664986</v>
      </c>
      <c r="AH29" s="122">
        <f t="shared" si="38"/>
        <v>2.6888191913504915</v>
      </c>
      <c r="AI29" s="121">
        <f t="shared" si="39"/>
        <v>100.7311987894476</v>
      </c>
      <c r="AJ29" s="122">
        <f t="shared" si="40"/>
        <v>103.7784157781953</v>
      </c>
    </row>
    <row r="30" spans="1:36" ht="15.6" x14ac:dyDescent="0.3">
      <c r="A30" s="68" t="s">
        <v>112</v>
      </c>
      <c r="B30" s="72" t="str">
        <f>INDEX(Pipe[],MATCH(A30,Pipe[Nome],0),2)</f>
        <v>CV-46</v>
      </c>
      <c r="C30" s="73" t="str">
        <f>INDEX(Pipe[],MATCH(A30,Pipe[Nome],0),3)</f>
        <v>CV-48</v>
      </c>
      <c r="D30" s="80">
        <f>INDEX(CV[],MATCH(B30,CV[Nome],0),4)</f>
        <v>671.31500000000005</v>
      </c>
      <c r="E30" s="81">
        <f>INDEX(CV[],MATCH(C30,CV[Nome],0),4)</f>
        <v>670.75800000000004</v>
      </c>
      <c r="F30" s="90">
        <f>INDEX(Pipe[],MATCH(A30,Pipe[Nome],0),8)</f>
        <v>17.291</v>
      </c>
      <c r="G30" s="86">
        <v>15.373568415278337</v>
      </c>
      <c r="H30" s="61">
        <v>17.174778744800616</v>
      </c>
      <c r="I30" s="93">
        <f>Parametros!$B$19*F30/1000*N30/10</f>
        <v>2.0012731481481479E-3</v>
      </c>
      <c r="J30" s="97">
        <f t="shared" si="41"/>
        <v>15.373568415278337</v>
      </c>
      <c r="K30" s="98">
        <f t="shared" si="42"/>
        <v>17.174778744800616</v>
      </c>
      <c r="L30" s="102">
        <f t="shared" si="27"/>
        <v>200</v>
      </c>
      <c r="M30" s="62">
        <f t="shared" si="28"/>
        <v>130.46134615456606</v>
      </c>
      <c r="N30" s="103">
        <v>200</v>
      </c>
      <c r="O30" s="112">
        <f t="shared" si="29"/>
        <v>3.2213290150946525E-2</v>
      </c>
      <c r="P30" s="63" cm="1">
        <f t="array" ref="P30">hidro_slopeMinH(K30/1000,N30/1000,Parametros!$B$13,Parametros!$B$14)</f>
        <v>4.1537516166100588E-3</v>
      </c>
      <c r="Q30" s="63" cm="1">
        <f t="array" ref="Q30">hidro_slopeMinVELOCITY(J30/1000,N30/1000,Parametros!$B$11,Parametros!$B$14)</f>
        <v>9.7034155222561376E-4</v>
      </c>
      <c r="R30" s="63" cm="1">
        <f t="array" ref="R30">hidro_slopeMaxVELOCITY(K30/1000,N30/1000,Parametros!$B$12,Parametros!$B$14)</f>
        <v>6.7449216990093375E-2</v>
      </c>
      <c r="S30" s="63">
        <f>MAX(P30,Q30,Parametros!$B$9)</f>
        <v>4.1537516166100588E-3</v>
      </c>
      <c r="T30" s="63">
        <f>MIN(R30,Parametros!$B$10)</f>
        <v>6.7449216990093375E-2</v>
      </c>
      <c r="U30" s="113">
        <v>3.2199999999999999E-2</v>
      </c>
      <c r="V30" s="121">
        <f t="shared" si="43"/>
        <v>1.3211525000000219</v>
      </c>
      <c r="W30" s="122">
        <f t="shared" si="30"/>
        <v>1.3209227000000054</v>
      </c>
      <c r="X30" s="129">
        <f t="shared" si="31"/>
        <v>669.99384750000002</v>
      </c>
      <c r="Y30" s="130">
        <f t="shared" si="32"/>
        <v>669.43707730000006</v>
      </c>
      <c r="Z30" s="6"/>
      <c r="AA30" s="137" cm="1">
        <f t="array" ref="AA30">hidro_findTheta(J30/1000,N30/1000,U30,Parametros!$B$14)</f>
        <v>2.1906398710489619</v>
      </c>
      <c r="AB30" s="138" cm="1">
        <f t="array" ref="AB30">hidro_findTheta(K30/1000,N30/1000,U30,Parametros!$B$14)</f>
        <v>2.2610983603902182</v>
      </c>
      <c r="AC30" s="137">
        <f t="shared" si="33"/>
        <v>0.21906398710489619</v>
      </c>
      <c r="AD30" s="138">
        <f t="shared" si="34"/>
        <v>0.22610983603902182</v>
      </c>
      <c r="AE30" s="121">
        <f t="shared" si="35"/>
        <v>0.27111897672190621</v>
      </c>
      <c r="AF30" s="122">
        <f t="shared" si="36"/>
        <v>0.28691847082377908</v>
      </c>
      <c r="AG30" s="121">
        <f t="shared" si="37"/>
        <v>2.2334419475995984</v>
      </c>
      <c r="AH30" s="122">
        <f t="shared" si="38"/>
        <v>2.3052703694578356</v>
      </c>
      <c r="AI30" s="121">
        <f t="shared" si="39"/>
        <v>69.127831770821047</v>
      </c>
      <c r="AJ30" s="122">
        <f t="shared" si="40"/>
        <v>71.351219860473719</v>
      </c>
    </row>
    <row r="31" spans="1:36" ht="15.6" x14ac:dyDescent="0.3">
      <c r="A31" s="68" t="s">
        <v>113</v>
      </c>
      <c r="B31" s="72" t="str">
        <f>INDEX(Pipe[],MATCH(A31,Pipe[Nome],0),2)</f>
        <v>CV-48</v>
      </c>
      <c r="C31" s="73" t="str">
        <f>INDEX(Pipe[],MATCH(A31,Pipe[Nome],0),3)</f>
        <v>CV-49</v>
      </c>
      <c r="D31" s="80">
        <f>INDEX(CV[],MATCH(B31,CV[Nome],0),4)</f>
        <v>670.75800000000004</v>
      </c>
      <c r="E31" s="81">
        <f>INDEX(CV[],MATCH(C31,CV[Nome],0),4)</f>
        <v>669.65200000000004</v>
      </c>
      <c r="F31" s="90">
        <f>INDEX(Pipe[],MATCH(A31,Pipe[Nome],0),8)</f>
        <v>37.341000000000001</v>
      </c>
      <c r="G31" s="86">
        <v>15.48245495395744</v>
      </c>
      <c r="H31" s="61">
        <v>17.35736459679541</v>
      </c>
      <c r="I31" s="93">
        <f>Parametros!$B$19*F31/1000*N31/10</f>
        <v>4.3218750000000002E-3</v>
      </c>
      <c r="J31" s="97">
        <f t="shared" si="41"/>
        <v>15.48245495395744</v>
      </c>
      <c r="K31" s="98">
        <f t="shared" si="42"/>
        <v>17.35736459679541</v>
      </c>
      <c r="L31" s="102">
        <f t="shared" si="27"/>
        <v>200</v>
      </c>
      <c r="M31" s="62">
        <f t="shared" si="28"/>
        <v>133.06378528565739</v>
      </c>
      <c r="N31" s="103">
        <v>200</v>
      </c>
      <c r="O31" s="112">
        <f t="shared" si="29"/>
        <v>2.9618917543718554E-2</v>
      </c>
      <c r="P31" s="63" cm="1">
        <f t="array" ref="P31">hidro_slopeMinH(K31/1000,N31/1000,Parametros!$B$13,Parametros!$B$14)</f>
        <v>4.2425385137399895E-3</v>
      </c>
      <c r="Q31" s="63" cm="1">
        <f t="array" ref="Q31">hidro_slopeMinVELOCITY(J31/1000,N31/1000,Parametros!$B$11,Parametros!$B$14)</f>
        <v>9.6884770172723871E-4</v>
      </c>
      <c r="R31" s="63" cm="1">
        <f t="array" ref="R31">hidro_slopeMaxVELOCITY(K31/1000,N31/1000,Parametros!$B$12,Parametros!$B$14)</f>
        <v>6.6869381366251909E-2</v>
      </c>
      <c r="S31" s="63">
        <f>MAX(P31,Q31,Parametros!$B$9)</f>
        <v>4.2425385137399895E-3</v>
      </c>
      <c r="T31" s="63">
        <f>MIN(R31,Parametros!$B$10)</f>
        <v>6.6869381366251909E-2</v>
      </c>
      <c r="U31" s="113">
        <v>2.9600000000000001E-2</v>
      </c>
      <c r="V31" s="121">
        <f t="shared" si="43"/>
        <v>1.3209227000000054</v>
      </c>
      <c r="W31" s="122">
        <f t="shared" si="30"/>
        <v>1.3202163000000109</v>
      </c>
      <c r="X31" s="129">
        <f t="shared" si="31"/>
        <v>669.43707730000006</v>
      </c>
      <c r="Y31" s="130">
        <f t="shared" si="32"/>
        <v>668.33178370000007</v>
      </c>
      <c r="Z31" s="6"/>
      <c r="AA31" s="137" cm="1">
        <f t="array" ref="AA31">hidro_findTheta(J31/1000,N31/1000,U31,Parametros!$B$14)</f>
        <v>2.2214926894353173</v>
      </c>
      <c r="AB31" s="138" cm="1">
        <f t="array" ref="AB31">hidro_findTheta(K31/1000,N31/1000,U31,Parametros!$B$14)</f>
        <v>2.2957861298966744</v>
      </c>
      <c r="AC31" s="137">
        <f t="shared" si="33"/>
        <v>0.22214926894353174</v>
      </c>
      <c r="AD31" s="138">
        <f t="shared" si="34"/>
        <v>0.22957861298966745</v>
      </c>
      <c r="AE31" s="121">
        <f t="shared" si="35"/>
        <v>0.27800355351194783</v>
      </c>
      <c r="AF31" s="122">
        <f t="shared" si="36"/>
        <v>0.2947951664362074</v>
      </c>
      <c r="AG31" s="121">
        <f t="shared" si="37"/>
        <v>2.1717104258868716</v>
      </c>
      <c r="AH31" s="122">
        <f t="shared" si="38"/>
        <v>2.2435971772483336</v>
      </c>
      <c r="AI31" s="121">
        <f t="shared" si="39"/>
        <v>64.441059935139691</v>
      </c>
      <c r="AJ31" s="122">
        <f t="shared" si="40"/>
        <v>66.596164056042738</v>
      </c>
    </row>
    <row r="32" spans="1:36" ht="15.6" x14ac:dyDescent="0.3">
      <c r="A32" s="68" t="s">
        <v>114</v>
      </c>
      <c r="B32" s="72" t="str">
        <f>INDEX(Pipe[],MATCH(A32,Pipe[Nome],0),2)</f>
        <v>CV-49</v>
      </c>
      <c r="C32" s="73" t="str">
        <f>INDEX(Pipe[],MATCH(A32,Pipe[Nome],0),3)</f>
        <v>CV-50</v>
      </c>
      <c r="D32" s="80">
        <f>INDEX(CV[],MATCH(B32,CV[Nome],0),4)</f>
        <v>669.65200000000004</v>
      </c>
      <c r="E32" s="81">
        <f>INDEX(CV[],MATCH(C32,CV[Nome],0),4)</f>
        <v>669.11800000000005</v>
      </c>
      <c r="F32" s="90">
        <f>INDEX(Pipe[],MATCH(A32,Pipe[Nome],0),8)</f>
        <v>24.888999999999999</v>
      </c>
      <c r="G32" s="86">
        <v>15.581535115838511</v>
      </c>
      <c r="H32" s="61">
        <v>17.520098684013835</v>
      </c>
      <c r="I32" s="93">
        <f>Parametros!$B$19*F32/1000*N32/10</f>
        <v>2.8806712962962961E-3</v>
      </c>
      <c r="J32" s="97">
        <f t="shared" si="41"/>
        <v>15.581535115838511</v>
      </c>
      <c r="K32" s="98">
        <f t="shared" si="42"/>
        <v>17.520098684013835</v>
      </c>
      <c r="L32" s="102">
        <f t="shared" si="27"/>
        <v>200</v>
      </c>
      <c r="M32" s="62">
        <f t="shared" si="28"/>
        <v>141.77989293771046</v>
      </c>
      <c r="N32" s="103">
        <v>200</v>
      </c>
      <c r="O32" s="112">
        <f t="shared" si="29"/>
        <v>2.1455261360440028E-2</v>
      </c>
      <c r="P32" s="63" cm="1">
        <f t="array" ref="P32">hidro_slopeMinH(K32/1000,N32/1000,Parametros!$B$13,Parametros!$B$14)</f>
        <v>4.3224633295095797E-3</v>
      </c>
      <c r="Q32" s="63" cm="1">
        <f t="array" ref="Q32">hidro_slopeMinVELOCITY(J32/1000,N32/1000,Parametros!$B$11,Parametros!$B$14)</f>
        <v>9.6761157892485961E-4</v>
      </c>
      <c r="R32" s="63" cm="1">
        <f t="array" ref="R32">hidro_slopeMaxVELOCITY(K32/1000,N32/1000,Parametros!$B$12,Parametros!$B$14)</f>
        <v>6.636225572399114E-2</v>
      </c>
      <c r="S32" s="63">
        <f>MAX(P32,Q32,Parametros!$B$9)</f>
        <v>4.3224633295095797E-3</v>
      </c>
      <c r="T32" s="63">
        <f>MIN(R32,Parametros!$B$10)</f>
        <v>6.636225572399114E-2</v>
      </c>
      <c r="U32" s="113">
        <v>2.1499999999999998E-2</v>
      </c>
      <c r="V32" s="121">
        <f t="shared" si="43"/>
        <v>1.3202163000000109</v>
      </c>
      <c r="W32" s="122">
        <f t="shared" si="30"/>
        <v>1.3213298000000191</v>
      </c>
      <c r="X32" s="129">
        <f t="shared" si="31"/>
        <v>668.33178370000007</v>
      </c>
      <c r="Y32" s="130">
        <f t="shared" si="32"/>
        <v>667.79667019999999</v>
      </c>
      <c r="Z32" s="6"/>
      <c r="AA32" s="137" cm="1">
        <f t="array" ref="AA32">hidro_findTheta(J32/1000,N32/1000,U32,Parametros!$B$14)</f>
        <v>2.3307834946983803</v>
      </c>
      <c r="AB32" s="138" cm="1">
        <f t="array" ref="AB32">hidro_findTheta(K32/1000,N32/1000,U32,Parametros!$B$14)</f>
        <v>2.412915207227825</v>
      </c>
      <c r="AC32" s="137">
        <f t="shared" si="33"/>
        <v>0.23307834946983805</v>
      </c>
      <c r="AD32" s="138">
        <f t="shared" si="34"/>
        <v>0.24129152072278251</v>
      </c>
      <c r="AE32" s="121">
        <f t="shared" si="35"/>
        <v>0.30280471097417905</v>
      </c>
      <c r="AF32" s="122">
        <f t="shared" si="36"/>
        <v>0.32183424895603241</v>
      </c>
      <c r="AG32" s="121">
        <f t="shared" si="37"/>
        <v>1.940489467248371</v>
      </c>
      <c r="AH32" s="122">
        <f t="shared" si="38"/>
        <v>2.0056990152546952</v>
      </c>
      <c r="AI32" s="121">
        <f t="shared" si="39"/>
        <v>49.109608233294871</v>
      </c>
      <c r="AJ32" s="122">
        <f t="shared" si="40"/>
        <v>50.840123416290268</v>
      </c>
    </row>
    <row r="33" spans="1:66" ht="15.6" x14ac:dyDescent="0.3">
      <c r="A33" s="68" t="s">
        <v>152</v>
      </c>
      <c r="B33" s="72" t="str">
        <f>INDEX(Pipe[],MATCH(A33,Pipe[Nome],0),2)</f>
        <v>CV-50</v>
      </c>
      <c r="C33" s="73" t="str">
        <f>INDEX(Pipe[],MATCH(A33,Pipe[Nome],0),3)</f>
        <v>CV-51</v>
      </c>
      <c r="D33" s="80">
        <f>INDEX(CV[],MATCH(B33,CV[Nome],0),4)</f>
        <v>669.11800000000005</v>
      </c>
      <c r="E33" s="81">
        <f>INDEX(CV[],MATCH(C33,CV[Nome],0),4)</f>
        <v>668.94600000000003</v>
      </c>
      <c r="F33" s="90">
        <f>INDEX(Pipe[],MATCH(A33,Pipe[Nome],0),8)</f>
        <v>17.887</v>
      </c>
      <c r="G33" s="86">
        <v>15.692352620694408</v>
      </c>
      <c r="H33" s="61">
        <v>17.702872800120652</v>
      </c>
      <c r="I33" s="93">
        <f>Parametros!$B$19*F33/1000*N33/10</f>
        <v>2.0702546296296294E-3</v>
      </c>
      <c r="J33" s="97">
        <f t="shared" si="41"/>
        <v>15.692352620694408</v>
      </c>
      <c r="K33" s="98">
        <f t="shared" si="42"/>
        <v>17.702872800120652</v>
      </c>
      <c r="L33" s="102">
        <f t="shared" si="27"/>
        <v>200</v>
      </c>
      <c r="M33" s="62">
        <f t="shared" si="28"/>
        <v>165.56220408183333</v>
      </c>
      <c r="N33" s="103">
        <v>200</v>
      </c>
      <c r="O33" s="112">
        <f t="shared" si="29"/>
        <v>9.61592217811961E-3</v>
      </c>
      <c r="P33" s="63" cm="1">
        <f t="array" ref="P33">hidro_slopeMinH(K33/1000,N33/1000,Parametros!$B$13,Parametros!$B$14)</f>
        <v>4.413119820496335E-3</v>
      </c>
      <c r="Q33" s="63" cm="1">
        <f t="array" ref="Q33">hidro_slopeMinVELOCITY(J33/1000,N33/1000,Parametros!$B$11,Parametros!$B$14)</f>
        <v>9.6637225395905307E-4</v>
      </c>
      <c r="R33" s="63" cm="1">
        <f t="array" ref="R33">hidro_slopeMaxVELOCITY(K33/1000,N33/1000,Parametros!$B$12,Parametros!$B$14)</f>
        <v>6.5803231861545269E-2</v>
      </c>
      <c r="S33" s="63">
        <f>MAX(P33,Q33,Parametros!$B$9)</f>
        <v>4.413119820496335E-3</v>
      </c>
      <c r="T33" s="63">
        <f>MIN(R33,Parametros!$B$10)</f>
        <v>6.5803231861545269E-2</v>
      </c>
      <c r="U33" s="113">
        <v>9.5999999999999992E-3</v>
      </c>
      <c r="V33" s="121">
        <f t="shared" si="43"/>
        <v>1.3213298000000191</v>
      </c>
      <c r="W33" s="122">
        <f t="shared" si="30"/>
        <v>1.3210449999999936</v>
      </c>
      <c r="X33" s="129">
        <f t="shared" si="31"/>
        <v>667.79667019999999</v>
      </c>
      <c r="Y33" s="130">
        <f t="shared" si="32"/>
        <v>667.624955</v>
      </c>
      <c r="Z33" s="6"/>
      <c r="AA33" s="137" cm="1">
        <f t="array" ref="AA33">hidro_findTheta(J33/1000,N33/1000,U33,Parametros!$B$14)</f>
        <v>2.6399303205867755</v>
      </c>
      <c r="AB33" s="138" cm="1">
        <f t="array" ref="AB33">hidro_findTheta(K33/1000,N33/1000,U33,Parametros!$B$14)</f>
        <v>2.7442384202321826</v>
      </c>
      <c r="AC33" s="137">
        <f t="shared" si="33"/>
        <v>0.26399303205867758</v>
      </c>
      <c r="AD33" s="138">
        <f t="shared" si="34"/>
        <v>0.27442384202321829</v>
      </c>
      <c r="AE33" s="121">
        <f t="shared" si="35"/>
        <v>0.37589539937418659</v>
      </c>
      <c r="AF33" s="122">
        <f t="shared" si="36"/>
        <v>0.4013136781969624</v>
      </c>
      <c r="AG33" s="121">
        <f t="shared" si="37"/>
        <v>1.4536372252070797</v>
      </c>
      <c r="AH33" s="122">
        <f t="shared" si="38"/>
        <v>1.5019883413514472</v>
      </c>
      <c r="AI33" s="121">
        <f t="shared" si="39"/>
        <v>24.836464456080382</v>
      </c>
      <c r="AJ33" s="122">
        <f t="shared" si="40"/>
        <v>25.817795057544373</v>
      </c>
    </row>
    <row r="34" spans="1:66" s="57" customFormat="1" ht="15.6" x14ac:dyDescent="0.3">
      <c r="A34" s="69"/>
      <c r="B34" s="74"/>
      <c r="C34" s="75"/>
      <c r="D34" s="82"/>
      <c r="E34" s="83"/>
      <c r="F34" s="91"/>
      <c r="G34" s="87"/>
      <c r="H34" s="65"/>
      <c r="I34" s="94"/>
      <c r="J34" s="82"/>
      <c r="K34" s="83"/>
      <c r="L34" s="104"/>
      <c r="M34" s="64"/>
      <c r="N34" s="105"/>
      <c r="O34" s="114"/>
      <c r="P34" s="66"/>
      <c r="Q34" s="66"/>
      <c r="R34" s="66"/>
      <c r="S34" s="66"/>
      <c r="T34" s="66"/>
      <c r="U34" s="115"/>
      <c r="V34" s="123"/>
      <c r="W34" s="144"/>
      <c r="X34" s="131"/>
      <c r="Y34" s="132"/>
      <c r="Z34" s="55"/>
      <c r="AA34" s="139"/>
      <c r="AB34" s="140"/>
      <c r="AC34" s="139"/>
      <c r="AD34" s="140"/>
      <c r="AE34" s="123"/>
      <c r="AF34" s="124"/>
      <c r="AG34" s="123"/>
      <c r="AH34" s="124"/>
      <c r="AI34" s="123"/>
      <c r="AJ34" s="124"/>
    </row>
    <row r="35" spans="1:66" ht="15.6" x14ac:dyDescent="0.3">
      <c r="A35" s="68" t="s">
        <v>154</v>
      </c>
      <c r="B35" s="72" t="str">
        <f>INDEX(Pipe[],MATCH(A35,Pipe[Nome],0),2)</f>
        <v>CV-6</v>
      </c>
      <c r="C35" s="73" t="str">
        <f>INDEX(Pipe[],MATCH(A35,Pipe[Nome],0),3)</f>
        <v>CV-8</v>
      </c>
      <c r="D35" s="80">
        <f>INDEX(CV[],MATCH(B35,CV[Nome],0),4)</f>
        <v>677.95899999999995</v>
      </c>
      <c r="E35" s="81">
        <f>INDEX(CV[],MATCH(C35,CV[Nome],0),4)</f>
        <v>677.57899999999995</v>
      </c>
      <c r="F35" s="90">
        <f>INDEX(Pipe[],MATCH(A35,Pipe[Nome],0),8)</f>
        <v>21.103000000000002</v>
      </c>
      <c r="G35" s="88">
        <v>18.84</v>
      </c>
      <c r="H35" s="67">
        <v>18.84</v>
      </c>
      <c r="I35" s="93">
        <f>Parametros!$B$19*F35/1000*N35/10</f>
        <v>2.4424768518518519E-3</v>
      </c>
      <c r="J35" s="151">
        <f>G35</f>
        <v>18.84</v>
      </c>
      <c r="K35" s="152">
        <f>H35</f>
        <v>18.84</v>
      </c>
      <c r="L35" s="102">
        <f t="shared" si="27"/>
        <v>200</v>
      </c>
      <c r="M35" s="62">
        <f t="shared" si="28"/>
        <v>151.42805794073664</v>
      </c>
      <c r="N35" s="103">
        <v>200</v>
      </c>
      <c r="O35" s="112">
        <f t="shared" si="29"/>
        <v>1.8006918447613866E-2</v>
      </c>
      <c r="P35" s="63" cm="1">
        <f t="array" ref="P35">hidro_slopeMinH(K35/1000,N35/1000,Parametros!$B$13,Parametros!$B$14)</f>
        <v>4.9982735205845895E-3</v>
      </c>
      <c r="Q35" s="63" cm="1">
        <f t="array" ref="Q35">hidro_slopeMinVELOCITY(J35/1000,N35/1000,Parametros!$B$11,Parametros!$B$14)</f>
        <v>1.1810915305548292E-3</v>
      </c>
      <c r="R35" s="63" cm="1">
        <f t="array" ref="R35">hidro_slopeMaxVELOCITY(K35/1000,N35/1000,Parametros!$B$12,Parametros!$B$14)</f>
        <v>6.2557090351608932E-2</v>
      </c>
      <c r="S35" s="63">
        <f>MAX(P35,Q35,Parametros!$B$9)</f>
        <v>4.9982735205845895E-3</v>
      </c>
      <c r="T35" s="63">
        <f>MIN(R35,Parametros!$B$10)</f>
        <v>6.2557090351608932E-2</v>
      </c>
      <c r="U35" s="113">
        <v>1.7500000000000002E-2</v>
      </c>
      <c r="V35" s="123">
        <v>1.1000000000000001</v>
      </c>
      <c r="W35" s="122">
        <f t="shared" si="30"/>
        <v>1.0893025000000047</v>
      </c>
      <c r="X35" s="129">
        <v>676.88400000000001</v>
      </c>
      <c r="Y35" s="130">
        <v>676.51499999999999</v>
      </c>
      <c r="Z35" s="6"/>
      <c r="AA35" s="137" cm="1">
        <f t="array" ref="AA35">hidro_findTheta(J35/1000,N35/1000,U35,Parametros!$B$14)</f>
        <v>2.5448349089999209</v>
      </c>
      <c r="AB35" s="138" cm="1">
        <f t="array" ref="AB35">hidro_findTheta(K35/1000,N35/1000,U35,Parametros!$B$14)</f>
        <v>2.5448349089999209</v>
      </c>
      <c r="AC35" s="137">
        <f t="shared" si="33"/>
        <v>0.25448349089999212</v>
      </c>
      <c r="AD35" s="138">
        <f t="shared" si="34"/>
        <v>0.25448349089999212</v>
      </c>
      <c r="AE35" s="121">
        <f t="shared" si="35"/>
        <v>0.35301445171604223</v>
      </c>
      <c r="AF35" s="122">
        <f t="shared" si="36"/>
        <v>0.35301445171604223</v>
      </c>
      <c r="AG35" s="121">
        <f t="shared" si="37"/>
        <v>1.9002745712986113</v>
      </c>
      <c r="AH35" s="122">
        <f t="shared" si="38"/>
        <v>1.9002745712986113</v>
      </c>
      <c r="AI35" s="121">
        <f t="shared" si="39"/>
        <v>43.643918689348652</v>
      </c>
      <c r="AJ35" s="122">
        <f t="shared" si="40"/>
        <v>43.643918689348652</v>
      </c>
    </row>
    <row r="36" spans="1:66" ht="15.6" x14ac:dyDescent="0.3">
      <c r="A36" s="68" t="s">
        <v>155</v>
      </c>
      <c r="B36" s="72" t="str">
        <f>INDEX(Pipe[],MATCH(A36,Pipe[Nome],0),2)</f>
        <v>CV-8</v>
      </c>
      <c r="C36" s="73" t="str">
        <f>INDEX(Pipe[],MATCH(A36,Pipe[Nome],0),3)</f>
        <v>CV-13</v>
      </c>
      <c r="D36" s="80">
        <f>INDEX(CV[],MATCH(B36,CV[Nome],0),4)</f>
        <v>677.57899999999995</v>
      </c>
      <c r="E36" s="81">
        <f>INDEX(CV[],MATCH(C36,CV[Nome],0),4)</f>
        <v>677.10299999999995</v>
      </c>
      <c r="F36" s="90">
        <f>INDEX(Pipe[],MATCH(A36,Pipe[Nome],0),8)</f>
        <v>19.454999999999998</v>
      </c>
      <c r="G36" s="88">
        <v>18.84</v>
      </c>
      <c r="H36" s="67">
        <v>18.84</v>
      </c>
      <c r="I36" s="93">
        <f>Parametros!$B$19*F36/1000*N36/10</f>
        <v>2.2517361111111106E-3</v>
      </c>
      <c r="J36" s="151">
        <f t="shared" ref="J36:J39" si="44">G36</f>
        <v>18.84</v>
      </c>
      <c r="K36" s="152">
        <f t="shared" ref="K36:K39" si="45">H36</f>
        <v>18.84</v>
      </c>
      <c r="L36" s="102">
        <f t="shared" si="27"/>
        <v>200</v>
      </c>
      <c r="M36" s="62">
        <f t="shared" si="28"/>
        <v>145.69470735760379</v>
      </c>
      <c r="N36" s="103">
        <v>200</v>
      </c>
      <c r="O36" s="112">
        <f t="shared" si="29"/>
        <v>2.4466718067334831E-2</v>
      </c>
      <c r="P36" s="63" cm="1">
        <f t="array" ref="P36">hidro_slopeMinH(K36/1000,N36/1000,Parametros!$B$13,Parametros!$B$14)</f>
        <v>4.9982735205845895E-3</v>
      </c>
      <c r="Q36" s="63" cm="1">
        <f t="array" ref="Q36">hidro_slopeMinVELOCITY(J36/1000,N36/1000,Parametros!$B$11,Parametros!$B$14)</f>
        <v>1.1810915305548292E-3</v>
      </c>
      <c r="R36" s="63" cm="1">
        <f t="array" ref="R36">hidro_slopeMaxVELOCITY(K36/1000,N36/1000,Parametros!$B$12,Parametros!$B$14)</f>
        <v>6.2557090351608932E-2</v>
      </c>
      <c r="S36" s="63">
        <f>MAX(P36,Q36,Parametros!$B$9)</f>
        <v>4.9982735205845895E-3</v>
      </c>
      <c r="T36" s="63">
        <f>MIN(R36,Parametros!$B$10)</f>
        <v>6.2557090351608932E-2</v>
      </c>
      <c r="U36" s="113">
        <v>2.1499999999999998E-2</v>
      </c>
      <c r="V36" s="121">
        <f t="shared" si="43"/>
        <v>1.0893025000000047</v>
      </c>
      <c r="W36" s="122">
        <f t="shared" si="30"/>
        <v>1.0315850000000055</v>
      </c>
      <c r="X36" s="129">
        <v>672.29</v>
      </c>
      <c r="Y36" s="130">
        <v>675.87099999999998</v>
      </c>
      <c r="Z36" s="6"/>
      <c r="AA36" s="137" cm="1">
        <f t="array" ref="AA36">hidro_findTheta(J36/1000,N36/1000,U36,Parametros!$B$14)</f>
        <v>2.4661113163156152</v>
      </c>
      <c r="AB36" s="138" cm="1">
        <f t="array" ref="AB36">hidro_findTheta(K36/1000,N36/1000,U36,Parametros!$B$14)</f>
        <v>2.4661113163156152</v>
      </c>
      <c r="AC36" s="137">
        <f t="shared" si="33"/>
        <v>0.24661113163156154</v>
      </c>
      <c r="AD36" s="138">
        <f t="shared" si="34"/>
        <v>0.24661113163156154</v>
      </c>
      <c r="AE36" s="121">
        <f t="shared" si="35"/>
        <v>0.3343218761927666</v>
      </c>
      <c r="AF36" s="122">
        <f t="shared" si="36"/>
        <v>0.3343218761927666</v>
      </c>
      <c r="AG36" s="121">
        <f t="shared" si="37"/>
        <v>2.0468935393510193</v>
      </c>
      <c r="AH36" s="122">
        <f t="shared" si="38"/>
        <v>2.0468935393510193</v>
      </c>
      <c r="AI36" s="121">
        <f t="shared" si="39"/>
        <v>51.960965434770017</v>
      </c>
      <c r="AJ36" s="122">
        <f t="shared" si="40"/>
        <v>51.960965434770017</v>
      </c>
    </row>
    <row r="37" spans="1:66" ht="15.6" x14ac:dyDescent="0.3">
      <c r="A37" s="68" t="s">
        <v>156</v>
      </c>
      <c r="B37" s="72" t="str">
        <f>INDEX(Pipe[],MATCH(A37,Pipe[Nome],0),2)</f>
        <v>CV-16</v>
      </c>
      <c r="C37" s="73" t="str">
        <f>INDEX(Pipe[],MATCH(A37,Pipe[Nome],0),3)</f>
        <v>CV-13</v>
      </c>
      <c r="D37" s="80">
        <f>INDEX(CV[],MATCH(B37,CV[Nome],0),4)</f>
        <v>675.91499999999996</v>
      </c>
      <c r="E37" s="81">
        <f>INDEX(CV[],MATCH(C37,CV[Nome],0),4)</f>
        <v>677.10299999999995</v>
      </c>
      <c r="F37" s="90">
        <f>INDEX(Pipe[],MATCH(A37,Pipe[Nome],0),8)</f>
        <v>25.045000000000002</v>
      </c>
      <c r="G37" s="88">
        <v>18.84</v>
      </c>
      <c r="H37" s="67">
        <v>18.84</v>
      </c>
      <c r="I37" s="93">
        <f>Parametros!$B$19*F37/1000*N37/10</f>
        <v>2.8987268518518516E-3</v>
      </c>
      <c r="J37" s="151">
        <f t="shared" si="44"/>
        <v>18.84</v>
      </c>
      <c r="K37" s="152">
        <f t="shared" si="45"/>
        <v>18.84</v>
      </c>
      <c r="L37" s="102">
        <f t="shared" si="27"/>
        <v>200</v>
      </c>
      <c r="M37" s="62">
        <f t="shared" si="28"/>
        <v>174.16017177586139</v>
      </c>
      <c r="N37" s="103">
        <v>200</v>
      </c>
      <c r="O37" s="112">
        <f t="shared" si="29"/>
        <v>-4.7434617688160832E-2</v>
      </c>
      <c r="P37" s="63" cm="1">
        <f t="array" ref="P37">hidro_slopeMinH(K37/1000,N37/1000,Parametros!$B$13,Parametros!$B$14)</f>
        <v>4.9982735205845895E-3</v>
      </c>
      <c r="Q37" s="63" cm="1">
        <f t="array" ref="Q37">hidro_slopeMinVELOCITY(J37/1000,N37/1000,Parametros!$B$11,Parametros!$B$14)</f>
        <v>1.1810915305548292E-3</v>
      </c>
      <c r="R37" s="63" cm="1">
        <f t="array" ref="R37">hidro_slopeMaxVELOCITY(K37/1000,N37/1000,Parametros!$B$12,Parametros!$B$14)</f>
        <v>6.2557090351608932E-2</v>
      </c>
      <c r="S37" s="63">
        <f>MAX(P37,Q37,Parametros!$B$9)</f>
        <v>4.9982735205845895E-3</v>
      </c>
      <c r="T37" s="63">
        <f>MIN(R37,Parametros!$B$10)</f>
        <v>6.2557090351608932E-2</v>
      </c>
      <c r="U37" s="113">
        <v>8.3000000000000001E-3</v>
      </c>
      <c r="V37" s="121">
        <f t="shared" si="43"/>
        <v>1.0315850000000055</v>
      </c>
      <c r="W37" s="122">
        <f t="shared" si="30"/>
        <v>2.4274584999999935</v>
      </c>
      <c r="X37" s="129">
        <v>674.91899999999998</v>
      </c>
      <c r="Y37" s="130">
        <v>674.71</v>
      </c>
      <c r="Z37" s="6"/>
      <c r="AA37" s="137" cm="1">
        <f t="array" ref="AA37">hidro_findTheta(J37/1000,N37/1000,U37,Parametros!$B$14)</f>
        <v>2.8704063152417141</v>
      </c>
      <c r="AB37" s="138" cm="1">
        <f t="array" ref="AB37">hidro_findTheta(K37/1000,N37/1000,U37,Parametros!$B$14)</f>
        <v>2.8704063152417141</v>
      </c>
      <c r="AC37" s="137">
        <f t="shared" si="33"/>
        <v>0.28704063152417142</v>
      </c>
      <c r="AD37" s="138">
        <f t="shared" si="34"/>
        <v>0.28704063152417142</v>
      </c>
      <c r="AE37" s="121">
        <f t="shared" si="35"/>
        <v>0.43241097029035591</v>
      </c>
      <c r="AF37" s="122">
        <f t="shared" si="36"/>
        <v>0.43241097029035591</v>
      </c>
      <c r="AG37" s="121">
        <f t="shared" si="37"/>
        <v>1.4478209768607553</v>
      </c>
      <c r="AH37" s="122">
        <f t="shared" si="38"/>
        <v>1.4478209768607553</v>
      </c>
      <c r="AI37" s="121">
        <f t="shared" si="39"/>
        <v>23.347884968176103</v>
      </c>
      <c r="AJ37" s="122">
        <f t="shared" si="40"/>
        <v>23.347884968176103</v>
      </c>
    </row>
    <row r="38" spans="1:66" ht="15.6" x14ac:dyDescent="0.3">
      <c r="A38" s="68" t="s">
        <v>157</v>
      </c>
      <c r="B38" s="72" t="str">
        <f>INDEX(Pipe[],MATCH(A38,Pipe[Nome],0),2)</f>
        <v>CV-7</v>
      </c>
      <c r="C38" s="73" t="str">
        <f>INDEX(Pipe[],MATCH(A38,Pipe[Nome],0),3)</f>
        <v>CV-13</v>
      </c>
      <c r="D38" s="80">
        <f>INDEX(CV[],MATCH(B38,CV[Nome],0),4)</f>
        <v>673.36500000000001</v>
      </c>
      <c r="E38" s="81">
        <f>INDEX(CV[],MATCH(C38,CV[Nome],0),4)</f>
        <v>677.10299999999995</v>
      </c>
      <c r="F38" s="90">
        <f>INDEX(Pipe[],MATCH(A38,Pipe[Nome],0),8)</f>
        <v>32.231999999999999</v>
      </c>
      <c r="G38" s="88">
        <v>18.84</v>
      </c>
      <c r="H38" s="67">
        <v>18.84</v>
      </c>
      <c r="I38" s="93">
        <f>Parametros!$B$19*F38/1000*N38/10</f>
        <v>3.7305555555555551E-3</v>
      </c>
      <c r="J38" s="151">
        <f t="shared" si="44"/>
        <v>18.84</v>
      </c>
      <c r="K38" s="152">
        <f t="shared" si="45"/>
        <v>18.84</v>
      </c>
      <c r="L38" s="102">
        <f t="shared" si="27"/>
        <v>200</v>
      </c>
      <c r="M38" s="62">
        <f t="shared" si="28"/>
        <v>119.2747413489319</v>
      </c>
      <c r="N38" s="103">
        <v>200</v>
      </c>
      <c r="O38" s="112">
        <f t="shared" si="29"/>
        <v>-0.11597170513774953</v>
      </c>
      <c r="P38" s="63" cm="1">
        <f t="array" ref="P38">hidro_slopeMinH(K38/1000,N38/1000,Parametros!$B$13,Parametros!$B$14)</f>
        <v>4.9982735205845895E-3</v>
      </c>
      <c r="Q38" s="63" cm="1">
        <f t="array" ref="Q38">hidro_slopeMinVELOCITY(J38/1000,N38/1000,Parametros!$B$11,Parametros!$B$14)</f>
        <v>1.1810915305548292E-3</v>
      </c>
      <c r="R38" s="63" cm="1">
        <f t="array" ref="R38">hidro_slopeMaxVELOCITY(K38/1000,N38/1000,Parametros!$B$12,Parametros!$B$14)</f>
        <v>6.2557090351608932E-2</v>
      </c>
      <c r="S38" s="63">
        <f>MAX(P38,Q38,Parametros!$B$9)</f>
        <v>4.9982735205845895E-3</v>
      </c>
      <c r="T38" s="63">
        <f>MIN(R38,Parametros!$B$10)</f>
        <v>6.2557090351608932E-2</v>
      </c>
      <c r="U38" s="113">
        <v>6.25E-2</v>
      </c>
      <c r="V38" s="121">
        <f t="shared" si="43"/>
        <v>2.4274584999999935</v>
      </c>
      <c r="W38" s="122">
        <f t="shared" si="30"/>
        <v>8.1799584999999357</v>
      </c>
      <c r="X38" s="129">
        <v>674.71</v>
      </c>
      <c r="Y38" s="130">
        <v>672</v>
      </c>
      <c r="Z38" s="6"/>
      <c r="AA38" s="137" cm="1">
        <f t="array" ref="AA38">hidro_findTheta(J38/1000,N38/1000,U38,Parametros!$B$14)</f>
        <v>2.1130019261412301</v>
      </c>
      <c r="AB38" s="138" cm="1">
        <f t="array" ref="AB38">hidro_findTheta(K38/1000,N38/1000,U38,Parametros!$B$14)</f>
        <v>2.1130019261412301</v>
      </c>
      <c r="AC38" s="137">
        <f t="shared" si="33"/>
        <v>0.21130019261412303</v>
      </c>
      <c r="AD38" s="138">
        <f t="shared" si="34"/>
        <v>0.21130019261412303</v>
      </c>
      <c r="AE38" s="121">
        <f t="shared" si="35"/>
        <v>0.25403925650528258</v>
      </c>
      <c r="AF38" s="122">
        <f t="shared" si="36"/>
        <v>0.25403925650528258</v>
      </c>
      <c r="AG38" s="121">
        <f t="shared" si="37"/>
        <v>2.9989749329412376</v>
      </c>
      <c r="AH38" s="122">
        <f t="shared" si="38"/>
        <v>2.9989749329412376</v>
      </c>
      <c r="AI38" s="121">
        <f t="shared" si="39"/>
        <v>129.42136797615035</v>
      </c>
      <c r="AJ38" s="122">
        <f t="shared" si="40"/>
        <v>129.42136797615035</v>
      </c>
    </row>
    <row r="39" spans="1:66" ht="16.2" thickBot="1" x14ac:dyDescent="0.35">
      <c r="A39" s="68" t="s">
        <v>158</v>
      </c>
      <c r="B39" s="76" t="str">
        <f>INDEX(Pipe[],MATCH(A39,Pipe[Nome],0),2)</f>
        <v>CV-7</v>
      </c>
      <c r="C39" s="77" t="str">
        <f>INDEX(Pipe[],MATCH(A39,Pipe[Nome],0),3)</f>
        <v>CV-10</v>
      </c>
      <c r="D39" s="84">
        <f>INDEX(CV[],MATCH(B39,CV[Nome],0),4)</f>
        <v>673.36500000000001</v>
      </c>
      <c r="E39" s="85">
        <f>INDEX(CV[],MATCH(C39,CV[Nome],0),4)</f>
        <v>670.59100000000001</v>
      </c>
      <c r="F39" s="92">
        <f>INDEX(Pipe[],MATCH(A39,Pipe[Nome],0),8)</f>
        <v>23.201000000000001</v>
      </c>
      <c r="G39" s="88">
        <v>18.84</v>
      </c>
      <c r="H39" s="67">
        <v>18.84</v>
      </c>
      <c r="I39" s="93">
        <f>Parametros!$B$19*F39/1000*N39/10</f>
        <v>2.6853009259259256E-3</v>
      </c>
      <c r="J39" s="153">
        <f t="shared" si="44"/>
        <v>18.84</v>
      </c>
      <c r="K39" s="154">
        <f t="shared" si="45"/>
        <v>18.84</v>
      </c>
      <c r="L39" s="106">
        <f t="shared" ref="L39" si="46">MAX(hidro_minimumDiameter(K39/1000,0.5,15/100,3,125),200)</f>
        <v>200</v>
      </c>
      <c r="M39" s="107">
        <f t="shared" ref="M39" si="47">0.3145*(K39/1000/(SQRT(U39)))^(3/8)*1000</f>
        <v>168.18063453101556</v>
      </c>
      <c r="N39" s="108">
        <v>200</v>
      </c>
      <c r="O39" s="116">
        <f t="shared" ref="O39" si="48">(D39-E39)/F39</f>
        <v>0.11956381190465931</v>
      </c>
      <c r="P39" s="117" cm="1">
        <f t="array" ref="P39">hidro_slopeMinH(K39/1000,N39/1000,Parametros!$B$13,Parametros!$B$14)</f>
        <v>4.9982735205845895E-3</v>
      </c>
      <c r="Q39" s="117" cm="1">
        <f t="array" ref="Q39">hidro_slopeMinVELOCITY(J39/1000,N39/1000,Parametros!$B$11,Parametros!$B$14)</f>
        <v>1.1810915305548292E-3</v>
      </c>
      <c r="R39" s="117" cm="1">
        <f t="array" ref="R39">hidro_slopeMaxVELOCITY(K39/1000,N39/1000,Parametros!$B$12,Parametros!$B$14)</f>
        <v>6.2557090351608932E-2</v>
      </c>
      <c r="S39" s="117">
        <f>MAX(P39,Q39,Parametros!$B$9)</f>
        <v>4.9982735205845895E-3</v>
      </c>
      <c r="T39" s="117">
        <f>MIN(R39,Parametros!$B$10)</f>
        <v>6.2557090351608932E-2</v>
      </c>
      <c r="U39" s="118">
        <v>0.01</v>
      </c>
      <c r="V39" s="125">
        <f t="shared" ref="V39" si="49">W38</f>
        <v>8.1799584999999357</v>
      </c>
      <c r="W39" s="126">
        <f t="shared" ref="W39" si="50">(E39-D39)+V39+F39*U39</f>
        <v>5.6379684999999347</v>
      </c>
      <c r="X39" s="133">
        <v>672</v>
      </c>
      <c r="Y39" s="134">
        <v>671.76800000000003</v>
      </c>
      <c r="Z39" s="6"/>
      <c r="AA39" s="141" cm="1">
        <f t="array" ref="AA39">hidro_findTheta(J39/1000,N39/1000,U39,Parametros!$B$14)</f>
        <v>2.7822100447342351</v>
      </c>
      <c r="AB39" s="142" cm="1">
        <f t="array" ref="AB39">hidro_findTheta(K39/1000,N39/1000,U39,Parametros!$B$14)</f>
        <v>2.7822100447342351</v>
      </c>
      <c r="AC39" s="141">
        <f t="shared" ref="AC39" si="51">(N39/1000)*AA39/2</f>
        <v>0.27822100447342352</v>
      </c>
      <c r="AD39" s="142">
        <f t="shared" ref="AD39" si="52">(N39/1000)*AB39/2</f>
        <v>0.27822100447342352</v>
      </c>
      <c r="AE39" s="125">
        <f t="shared" ref="AE39" si="53">(1-COS(AA39/2))/2</f>
        <v>0.41063707164560104</v>
      </c>
      <c r="AF39" s="126">
        <f t="shared" ref="AF39" si="54">(1-COS(AB39/2))/2</f>
        <v>0.41063707164560104</v>
      </c>
      <c r="AG39" s="125">
        <f t="shared" ref="AG39" si="55">(J39/1000)/(((N39/1000)^2/8)*(AA39-SIN(AA39)))</f>
        <v>1.5502895584976326</v>
      </c>
      <c r="AH39" s="126">
        <f t="shared" ref="AH39" si="56">(K39/1000)/(((N39/1000)^2/8)*(AB39-SIN(AB39)))</f>
        <v>1.5502895584976326</v>
      </c>
      <c r="AI39" s="125">
        <f t="shared" ref="AI39" si="57">9800*AC39*$U39</f>
        <v>27.265658438395505</v>
      </c>
      <c r="AJ39" s="126">
        <f t="shared" ref="AJ39" si="58">9800*AD39*$U39</f>
        <v>27.265658438395505</v>
      </c>
    </row>
    <row r="40" spans="1:66" ht="15" thickBot="1" x14ac:dyDescent="0.35"/>
    <row r="41" spans="1:66" x14ac:dyDescent="0.3">
      <c r="A41" s="145"/>
      <c r="B41" s="146"/>
      <c r="G41" s="3">
        <v>6.5181275059313648E-2</v>
      </c>
      <c r="H41" s="3">
        <v>0.10669470462715343</v>
      </c>
      <c r="J41" s="170"/>
      <c r="K41" s="171"/>
      <c r="AB41" s="145"/>
      <c r="AC41" s="146"/>
    </row>
    <row r="42" spans="1:66" ht="15" thickBot="1" x14ac:dyDescent="0.35">
      <c r="A42" s="147" t="s">
        <v>28</v>
      </c>
      <c r="B42" s="148" t="s">
        <v>106</v>
      </c>
      <c r="G42" s="3">
        <v>6.7433011170424759E-2</v>
      </c>
      <c r="H42" s="3">
        <v>0.10894644073826454</v>
      </c>
      <c r="J42" s="172" t="s">
        <v>193</v>
      </c>
      <c r="K42" s="173"/>
      <c r="AB42" s="147" t="s">
        <v>28</v>
      </c>
      <c r="AC42" s="148" t="s">
        <v>106</v>
      </c>
    </row>
    <row r="43" spans="1:66" x14ac:dyDescent="0.3">
      <c r="G43" s="3">
        <v>9.0733044342298383E-2</v>
      </c>
      <c r="H43" s="3">
        <v>0.14885184573727406</v>
      </c>
      <c r="J43" s="172"/>
      <c r="K43" s="173"/>
      <c r="BN43" s="4"/>
    </row>
    <row r="44" spans="1:66" ht="15" thickBot="1" x14ac:dyDescent="0.35">
      <c r="G44" s="3">
        <v>0.2288179958229046</v>
      </c>
      <c r="H44" s="3">
        <v>0.3727312183247492</v>
      </c>
      <c r="J44" s="174"/>
      <c r="K44" s="175"/>
    </row>
    <row r="45" spans="1:66" x14ac:dyDescent="0.3">
      <c r="G45" s="3">
        <v>0.23150329674883052</v>
      </c>
      <c r="H45" s="3">
        <v>0.37541651925067515</v>
      </c>
      <c r="BM45" s="12" t="s">
        <v>39</v>
      </c>
      <c r="BN45" s="12">
        <v>12028.298285199979</v>
      </c>
    </row>
    <row r="46" spans="1:66" x14ac:dyDescent="0.3">
      <c r="BM46" s="12" t="s">
        <v>40</v>
      </c>
      <c r="BN46" s="12">
        <v>13988.665646597339</v>
      </c>
    </row>
    <row r="47" spans="1:66" x14ac:dyDescent="0.3">
      <c r="BM47" s="12" t="s">
        <v>41</v>
      </c>
      <c r="BN47" s="12">
        <v>131.37</v>
      </c>
    </row>
    <row r="48" spans="1:66" x14ac:dyDescent="0.3">
      <c r="B48" s="51"/>
    </row>
    <row r="56" spans="17:17" x14ac:dyDescent="0.3">
      <c r="Q56" s="3" t="s">
        <v>189</v>
      </c>
    </row>
  </sheetData>
  <mergeCells count="29">
    <mergeCell ref="A1:Y2"/>
    <mergeCell ref="J41:K41"/>
    <mergeCell ref="J42:K44"/>
    <mergeCell ref="AA1:AJ2"/>
    <mergeCell ref="L4:N5"/>
    <mergeCell ref="A4:A6"/>
    <mergeCell ref="B4:C5"/>
    <mergeCell ref="D4:E5"/>
    <mergeCell ref="F4:F6"/>
    <mergeCell ref="G4:K5"/>
    <mergeCell ref="O4:U5"/>
    <mergeCell ref="V4:W5"/>
    <mergeCell ref="X4:Y5"/>
    <mergeCell ref="AA4:AB5"/>
    <mergeCell ref="AC4:AD5"/>
    <mergeCell ref="BH4:BI5"/>
    <mergeCell ref="AE4:AF5"/>
    <mergeCell ref="AG4:AH5"/>
    <mergeCell ref="AI4:AJ5"/>
    <mergeCell ref="AL4:AO5"/>
    <mergeCell ref="AP4:AQ5"/>
    <mergeCell ref="AR4:AW4"/>
    <mergeCell ref="AR5:AT5"/>
    <mergeCell ref="AU5:AW5"/>
    <mergeCell ref="AX4:AY5"/>
    <mergeCell ref="AZ4:BA5"/>
    <mergeCell ref="BB4:BC5"/>
    <mergeCell ref="BD4:BE5"/>
    <mergeCell ref="BF4:BG5"/>
  </mergeCells>
  <phoneticPr fontId="15" type="noConversion"/>
  <conditionalFormatting sqref="AI7:AJ39">
    <cfRule type="cellIs" dxfId="16" priority="14" operator="lessThan">
      <formula>1</formula>
    </cfRule>
  </conditionalFormatting>
  <conditionalFormatting sqref="W7:W19 W21:W24 W26:W33 W35:W39">
    <cfRule type="cellIs" dxfId="15" priority="9" operator="lessThan">
      <formula>1</formula>
    </cfRule>
  </conditionalFormatting>
  <conditionalFormatting sqref="N7:N39">
    <cfRule type="cellIs" dxfId="14" priority="5" operator="lessThan">
      <formula>_xludf.máx($L$7,$M$7)</formula>
    </cfRule>
  </conditionalFormatting>
  <conditionalFormatting sqref="AE7:AF39">
    <cfRule type="cellIs" dxfId="13" priority="4" operator="greaterThan">
      <formula>0.5</formula>
    </cfRule>
  </conditionalFormatting>
  <conditionalFormatting sqref="U7:U39">
    <cfRule type="cellIs" dxfId="12" priority="2" operator="notBetween">
      <formula>$S7</formula>
      <formula>$T7</formula>
    </cfRule>
  </conditionalFormatting>
  <pageMargins left="0.511811024" right="0.511811024" top="0.78740157499999996" bottom="0.78740157499999996" header="0.31496062000000002" footer="0.31496062000000002"/>
  <pageSetup paperSize="8" scale="28" fitToHeight="0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notBetween" id="{00000000-000E-0000-0000-000001000000}">
            <xm:f>Parametros!$B$11</xm:f>
            <xm:f>Parametros!$B$12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AG7:AH39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6ED5055-0FDE-48A8-9745-B1D03630B264}">
          <x14:formula1>
            <xm:f>Pipe_dados!$A$2:$A$100</xm:f>
          </x14:formula1>
          <xm:sqref>A7:A39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31B39-B728-4C78-877C-F7D5C9E25CBE}">
  <sheetPr codeName="Planilha6">
    <pageSetUpPr fitToPage="1"/>
  </sheetPr>
  <dimension ref="A1:BU47"/>
  <sheetViews>
    <sheetView zoomScale="70" zoomScaleNormal="70" workbookViewId="0">
      <pane xSplit="1" topLeftCell="Z1" activePane="topRight" state="frozen"/>
      <selection pane="topRight" sqref="A1:AJ39"/>
    </sheetView>
  </sheetViews>
  <sheetFormatPr defaultRowHeight="14.4" x14ac:dyDescent="0.3"/>
  <cols>
    <col min="1" max="1" width="10.8984375" style="3" customWidth="1"/>
    <col min="2" max="2" width="8.8984375" style="155" hidden="1" customWidth="1"/>
    <col min="3" max="3" width="8.69921875" style="155" hidden="1" customWidth="1"/>
    <col min="4" max="4" width="10.796875" style="3" hidden="1" customWidth="1"/>
    <col min="5" max="5" width="10.3984375" style="3" hidden="1" customWidth="1"/>
    <col min="6" max="6" width="11.796875" style="3" hidden="1" customWidth="1"/>
    <col min="7" max="9" width="11" style="3" hidden="1" customWidth="1"/>
    <col min="10" max="10" width="15" style="3" hidden="1" customWidth="1"/>
    <col min="11" max="11" width="11.59765625" style="3" hidden="1" customWidth="1"/>
    <col min="12" max="12" width="8.69921875" style="3" hidden="1" customWidth="1"/>
    <col min="13" max="13" width="11.59765625" style="3" hidden="1" customWidth="1"/>
    <col min="14" max="14" width="10.296875" style="3" hidden="1" customWidth="1"/>
    <col min="15" max="15" width="9.59765625" style="3" hidden="1" customWidth="1"/>
    <col min="16" max="16" width="6.796875" style="3" hidden="1" customWidth="1"/>
    <col min="17" max="17" width="8.8984375" style="3" hidden="1" customWidth="1"/>
    <col min="18" max="18" width="10.8984375" style="3" hidden="1" customWidth="1"/>
    <col min="19" max="19" width="9.19921875" style="3" hidden="1" customWidth="1"/>
    <col min="20" max="20" width="8" style="3" hidden="1" customWidth="1"/>
    <col min="21" max="21" width="11.296875" style="3" hidden="1" customWidth="1"/>
    <col min="22" max="22" width="8.69921875" style="3" hidden="1" customWidth="1"/>
    <col min="23" max="23" width="9.19921875" style="3" hidden="1" customWidth="1"/>
    <col min="24" max="24" width="12.09765625" style="3" hidden="1" customWidth="1"/>
    <col min="25" max="25" width="10.69921875" style="3" hidden="1" customWidth="1"/>
    <col min="26" max="26" width="5.69921875" style="16" hidden="1" customWidth="1"/>
    <col min="27" max="27" width="13.5" style="3" customWidth="1"/>
    <col min="28" max="28" width="8.3984375" style="3" hidden="1" customWidth="1"/>
    <col min="29" max="29" width="11.59765625" style="3" customWidth="1"/>
    <col min="30" max="30" width="9.19921875" style="3" hidden="1" customWidth="1"/>
    <col min="31" max="31" width="11" style="3" customWidth="1"/>
    <col min="32" max="32" width="7.69921875" style="3" hidden="1" customWidth="1"/>
    <col min="33" max="33" width="15.8984375" style="3" customWidth="1"/>
    <col min="34" max="34" width="9.5" style="3" hidden="1" customWidth="1"/>
    <col min="35" max="35" width="9.09765625" style="3" hidden="1" customWidth="1"/>
    <col min="36" max="36" width="0.19921875" style="3" customWidth="1"/>
    <col min="37" max="37" width="15" style="3" customWidth="1"/>
    <col min="38" max="38" width="11.69921875" style="3" customWidth="1"/>
    <col min="39" max="40" width="10.69921875" style="3" customWidth="1"/>
    <col min="41" max="41" width="10.3984375" style="3" customWidth="1"/>
    <col min="42" max="43" width="11.59765625" style="3" customWidth="1"/>
    <col min="44" max="49" width="8.5" style="3" customWidth="1"/>
    <col min="50" max="50" width="10.3984375" style="3" customWidth="1"/>
    <col min="51" max="51" width="10" style="3" customWidth="1"/>
    <col min="52" max="59" width="8.19921875" style="3" customWidth="1"/>
    <col min="60" max="60" width="8.796875" style="3"/>
    <col min="61" max="61" width="10.69921875" style="3" customWidth="1"/>
    <col min="62" max="64" width="8.796875" style="3"/>
    <col min="65" max="65" width="13.8984375" style="3" bestFit="1" customWidth="1"/>
    <col min="66" max="66" width="15.69921875" style="3" customWidth="1"/>
    <col min="67" max="67" width="9" style="3" bestFit="1" customWidth="1"/>
    <col min="68" max="68" width="8.69921875" style="3" customWidth="1"/>
    <col min="69" max="16384" width="8.796875" style="3"/>
  </cols>
  <sheetData>
    <row r="1" spans="1:73" x14ac:dyDescent="0.3">
      <c r="A1" s="169"/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AA1" s="169" t="s">
        <v>194</v>
      </c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73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</row>
    <row r="3" spans="1:73" ht="15" thickBot="1" x14ac:dyDescent="0.35"/>
    <row r="4" spans="1:73" ht="15" customHeight="1" x14ac:dyDescent="0.3">
      <c r="A4" s="182" t="s">
        <v>13</v>
      </c>
      <c r="B4" s="176" t="s">
        <v>14</v>
      </c>
      <c r="C4" s="178"/>
      <c r="D4" s="184" t="s">
        <v>15</v>
      </c>
      <c r="E4" s="185"/>
      <c r="F4" s="182" t="s">
        <v>60</v>
      </c>
      <c r="G4" s="189" t="s">
        <v>127</v>
      </c>
      <c r="H4" s="190"/>
      <c r="I4" s="190"/>
      <c r="J4" s="190"/>
      <c r="K4" s="191"/>
      <c r="L4" s="176" t="s">
        <v>18</v>
      </c>
      <c r="M4" s="177"/>
      <c r="N4" s="178"/>
      <c r="O4" s="189" t="s">
        <v>16</v>
      </c>
      <c r="P4" s="195"/>
      <c r="Q4" s="195"/>
      <c r="R4" s="195"/>
      <c r="S4" s="195"/>
      <c r="T4" s="195"/>
      <c r="U4" s="185"/>
      <c r="V4" s="176" t="s">
        <v>17</v>
      </c>
      <c r="W4" s="178"/>
      <c r="X4" s="198" t="s">
        <v>42</v>
      </c>
      <c r="Y4" s="199"/>
      <c r="Z4" s="15"/>
      <c r="AA4" s="202" t="s">
        <v>56</v>
      </c>
      <c r="AB4" s="203"/>
      <c r="AC4" s="198" t="s">
        <v>19</v>
      </c>
      <c r="AD4" s="199"/>
      <c r="AE4" s="164" t="s">
        <v>20</v>
      </c>
      <c r="AF4" s="165"/>
      <c r="AG4" s="164" t="s">
        <v>21</v>
      </c>
      <c r="AH4" s="165"/>
      <c r="AI4" s="164" t="s">
        <v>22</v>
      </c>
      <c r="AJ4" s="165"/>
      <c r="AK4" s="155"/>
      <c r="AL4" s="168"/>
      <c r="AM4" s="168"/>
      <c r="AN4" s="168"/>
      <c r="AO4" s="168"/>
      <c r="AP4" s="168"/>
      <c r="AQ4" s="168"/>
      <c r="AR4" s="163"/>
      <c r="AS4" s="163"/>
      <c r="AT4" s="163"/>
      <c r="AU4" s="163"/>
      <c r="AV4" s="163"/>
      <c r="AW4" s="163"/>
      <c r="AX4" s="163"/>
      <c r="AY4" s="163"/>
      <c r="AZ4" s="163"/>
      <c r="BA4" s="163"/>
      <c r="BB4" s="163"/>
      <c r="BC4" s="163"/>
      <c r="BD4" s="168"/>
      <c r="BE4" s="168"/>
      <c r="BF4" s="163"/>
      <c r="BG4" s="163"/>
      <c r="BH4" s="163"/>
      <c r="BI4" s="163"/>
      <c r="BN4" s="156"/>
    </row>
    <row r="5" spans="1:73" ht="36" customHeight="1" thickBot="1" x14ac:dyDescent="0.35">
      <c r="A5" s="183"/>
      <c r="B5" s="179"/>
      <c r="C5" s="181"/>
      <c r="D5" s="186"/>
      <c r="E5" s="187"/>
      <c r="F5" s="183"/>
      <c r="G5" s="192"/>
      <c r="H5" s="193"/>
      <c r="I5" s="193"/>
      <c r="J5" s="193"/>
      <c r="K5" s="194"/>
      <c r="L5" s="179"/>
      <c r="M5" s="180"/>
      <c r="N5" s="181"/>
      <c r="O5" s="196"/>
      <c r="P5" s="197"/>
      <c r="Q5" s="197"/>
      <c r="R5" s="197"/>
      <c r="S5" s="197"/>
      <c r="T5" s="197"/>
      <c r="U5" s="187"/>
      <c r="V5" s="179"/>
      <c r="W5" s="181"/>
      <c r="X5" s="200"/>
      <c r="Y5" s="201"/>
      <c r="Z5" s="15"/>
      <c r="AA5" s="204"/>
      <c r="AB5" s="205"/>
      <c r="AC5" s="200"/>
      <c r="AD5" s="201"/>
      <c r="AE5" s="166"/>
      <c r="AF5" s="167"/>
      <c r="AG5" s="166"/>
      <c r="AH5" s="167"/>
      <c r="AI5" s="166"/>
      <c r="AJ5" s="167"/>
      <c r="AK5" s="155"/>
      <c r="AL5" s="168"/>
      <c r="AM5" s="168"/>
      <c r="AN5" s="168"/>
      <c r="AO5" s="168"/>
      <c r="AP5" s="168"/>
      <c r="AQ5" s="168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8"/>
      <c r="BE5" s="168"/>
      <c r="BF5" s="163"/>
      <c r="BG5" s="163"/>
      <c r="BH5" s="163"/>
      <c r="BI5" s="163"/>
      <c r="BO5" s="4"/>
      <c r="BP5" s="4"/>
    </row>
    <row r="6" spans="1:73" ht="52.2" customHeight="1" thickBot="1" x14ac:dyDescent="0.35">
      <c r="A6" s="183"/>
      <c r="B6" s="43" t="s">
        <v>23</v>
      </c>
      <c r="C6" s="46" t="s">
        <v>24</v>
      </c>
      <c r="D6" s="43" t="s">
        <v>23</v>
      </c>
      <c r="E6" s="46" t="s">
        <v>24</v>
      </c>
      <c r="F6" s="188"/>
      <c r="G6" s="59" t="s">
        <v>124</v>
      </c>
      <c r="H6" s="60" t="s">
        <v>125</v>
      </c>
      <c r="I6" s="60" t="s">
        <v>126</v>
      </c>
      <c r="J6" s="161" t="s">
        <v>27</v>
      </c>
      <c r="K6" s="50" t="s">
        <v>26</v>
      </c>
      <c r="L6" s="43" t="s">
        <v>43</v>
      </c>
      <c r="M6" s="54" t="s">
        <v>28</v>
      </c>
      <c r="N6" s="46" t="s">
        <v>29</v>
      </c>
      <c r="O6" s="58" t="s">
        <v>191</v>
      </c>
      <c r="P6" s="44" t="s">
        <v>47</v>
      </c>
      <c r="Q6" s="44" t="s">
        <v>48</v>
      </c>
      <c r="R6" s="44" t="s">
        <v>49</v>
      </c>
      <c r="S6" s="45" t="s">
        <v>55</v>
      </c>
      <c r="T6" s="45" t="s">
        <v>46</v>
      </c>
      <c r="U6" s="46" t="s">
        <v>27</v>
      </c>
      <c r="V6" s="43" t="s">
        <v>23</v>
      </c>
      <c r="W6" s="46" t="s">
        <v>24</v>
      </c>
      <c r="X6" s="149" t="s">
        <v>23</v>
      </c>
      <c r="Y6" s="38" t="s">
        <v>24</v>
      </c>
      <c r="Z6" s="15"/>
      <c r="AA6" s="149"/>
      <c r="AB6" s="38"/>
      <c r="AC6" s="149"/>
      <c r="AD6" s="38"/>
      <c r="AE6" s="149"/>
      <c r="AF6" s="38"/>
      <c r="AG6" s="150"/>
      <c r="AH6" s="37" t="s">
        <v>62</v>
      </c>
      <c r="AI6" s="149" t="s">
        <v>30</v>
      </c>
      <c r="AJ6" s="38" t="s">
        <v>32</v>
      </c>
      <c r="AK6" s="156"/>
      <c r="AL6" s="156"/>
      <c r="AM6" s="156"/>
      <c r="AN6" s="156"/>
      <c r="AO6" s="156"/>
      <c r="AP6" s="156"/>
      <c r="AQ6" s="156"/>
      <c r="AR6" s="155"/>
      <c r="AS6" s="155"/>
      <c r="AT6" s="155"/>
      <c r="AU6" s="155"/>
      <c r="AV6" s="155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G6" s="155"/>
      <c r="BH6" s="155"/>
      <c r="BI6" s="155"/>
      <c r="BO6" s="4"/>
      <c r="BP6" s="4"/>
    </row>
    <row r="7" spans="1:73" s="16" customFormat="1" ht="15.6" x14ac:dyDescent="0.3">
      <c r="A7" s="68" t="s">
        <v>64</v>
      </c>
      <c r="B7" s="70" t="str">
        <f>INDEX(Pipe[],MATCH(A7,Pipe[Nome],0),2)</f>
        <v>CV-1</v>
      </c>
      <c r="C7" s="71" t="str">
        <f>INDEX(Pipe[],MATCH(A7,Pipe[Nome],0),3)</f>
        <v>CV-2</v>
      </c>
      <c r="D7" s="78">
        <f>INDEX(CV[],MATCH(B7,CV[Nome],0),4)</f>
        <v>679.63599999999997</v>
      </c>
      <c r="E7" s="79">
        <f>INDEX(CV[],MATCH(C7,CV[Nome],0),4)</f>
        <v>679.06200000000001</v>
      </c>
      <c r="F7" s="89">
        <f>INDEX(Pipe[],MATCH(A7,Pipe[Nome],0),8)</f>
        <v>44.036000000000001</v>
      </c>
      <c r="G7" s="86">
        <v>15.109661422938363</v>
      </c>
      <c r="H7" s="61">
        <v>16.708850472218096</v>
      </c>
      <c r="I7" s="93">
        <f>Parametros!$B$19*F7/1000*N7/10</f>
        <v>5.0967592592592592E-3</v>
      </c>
      <c r="J7" s="95">
        <v>22.0701703945</v>
      </c>
      <c r="K7" s="96">
        <v>22.0701703945</v>
      </c>
      <c r="L7" s="99">
        <f>MAX(hidro_minimumDiameter(K7/1000,Parametros!$B$28,Parametros!$B$25,Parametros!$B$27,Parametros!$B$29),200)</f>
        <v>200</v>
      </c>
      <c r="M7" s="100">
        <f>0.3145*(K7/1000/(SQRT(U7)))^(3/8)*1000</f>
        <v>169.89609760467735</v>
      </c>
      <c r="N7" s="101">
        <v>200</v>
      </c>
      <c r="O7" s="109">
        <f t="shared" ref="O7:O19" si="0">(D7-E7)/F7</f>
        <v>1.3034789717502849E-2</v>
      </c>
      <c r="P7" s="110" cm="1">
        <f t="array" ref="P7">hidro_slopeMinH(K7/1000,N7/1000,Parametros!$B$28,Parametros!$B$29)</f>
        <v>5.4680634888023679E-3</v>
      </c>
      <c r="Q7" s="110" cm="1">
        <f t="array" ref="Q7">hidro_slopeMinVELOCITY(J7/1000,N7/1000,Parametros!$B$26,Parametros!$B$29)</f>
        <v>7.0473447094505882E-3</v>
      </c>
      <c r="R7" s="110" cm="1">
        <f t="array" ref="R7">hidro_slopeMaxVELOCITY(K7/1000,N7/1000,Parametros!$B$27,Parametros!$B$29)</f>
        <v>0.74030973721096394</v>
      </c>
      <c r="S7" s="110">
        <f>MAX(P7,Q7,Parametros!$B$9)</f>
        <v>7.0473447094505882E-3</v>
      </c>
      <c r="T7" s="110">
        <f>MIN(R7,Parametros!$B$10)</f>
        <v>0.15</v>
      </c>
      <c r="U7" s="111">
        <v>1.2999999999999999E-2</v>
      </c>
      <c r="V7" s="119">
        <v>1.2</v>
      </c>
      <c r="W7" s="120">
        <f t="shared" ref="W7:W19" si="1">(E7-D7)+V7+F7*U7</f>
        <v>1.1984680000000445</v>
      </c>
      <c r="X7" s="127">
        <f t="shared" ref="X7:Y19" si="2">D7-V7</f>
        <v>678.43599999999992</v>
      </c>
      <c r="Y7" s="128">
        <f t="shared" si="2"/>
        <v>677.86353199999996</v>
      </c>
      <c r="Z7" s="6"/>
      <c r="AA7" s="135" cm="1">
        <f t="array" ref="AA7">hidro_findTheta(J7/1000,N7/1000,U7,Parametros!$B$14)</f>
        <v>2.807293279600986</v>
      </c>
      <c r="AB7" s="136" cm="1">
        <f t="array" ref="AB7">hidro_findTheta(K7/1000,N7/1000,U7,Parametros!$B$14)</f>
        <v>2.807293279600986</v>
      </c>
      <c r="AC7" s="135">
        <f>(N7/1000)*AA7/2</f>
        <v>0.28072932796009858</v>
      </c>
      <c r="AD7" s="136">
        <f>(N7/1000)*AB7/2</f>
        <v>0.28072932796009858</v>
      </c>
      <c r="AE7" s="143">
        <f>(1-COS(AA7/2))/2</f>
        <v>0.41681377972535083</v>
      </c>
      <c r="AF7" s="120">
        <f>(1-COS(AB7/2))/2</f>
        <v>0.41681377972535083</v>
      </c>
      <c r="AG7" s="143">
        <f t="shared" ref="AG7:AG19" si="3">(J7/1000)/(((N7/1000)^2/8)*(AA7-SIN(AA7)))</f>
        <v>1.7804369307121584</v>
      </c>
      <c r="AH7" s="120">
        <f>(K7/1000)/(((N7/1000)^2/8)*(AB7-SIN(AB7)))</f>
        <v>1.7804369307121584</v>
      </c>
      <c r="AI7" s="143">
        <f>9800*AC7*$U7</f>
        <v>35.76491638211656</v>
      </c>
      <c r="AJ7" s="120">
        <f>9800*AD7*$U7</f>
        <v>35.76491638211656</v>
      </c>
      <c r="AK7" s="6"/>
      <c r="AL7" s="5"/>
      <c r="AM7" s="41"/>
      <c r="AN7" s="41"/>
      <c r="AO7" s="7"/>
      <c r="AP7" s="41"/>
      <c r="AQ7" s="47"/>
      <c r="AR7" s="42"/>
      <c r="AS7" s="47"/>
      <c r="AT7" s="41"/>
      <c r="AU7" s="41"/>
      <c r="AV7" s="47"/>
      <c r="AW7" s="41"/>
      <c r="AX7" s="48"/>
      <c r="AY7" s="48"/>
      <c r="AZ7" s="47"/>
      <c r="BA7" s="47"/>
      <c r="BB7" s="8"/>
      <c r="BC7" s="8"/>
      <c r="BD7" s="41"/>
      <c r="BE7" s="41"/>
      <c r="BF7" s="41"/>
      <c r="BG7" s="41"/>
      <c r="BH7" s="41"/>
      <c r="BI7" s="41"/>
      <c r="BJ7" s="47"/>
      <c r="BR7" s="47"/>
      <c r="BS7" s="47"/>
      <c r="BT7" s="47"/>
      <c r="BU7" s="47"/>
    </row>
    <row r="8" spans="1:73" s="16" customFormat="1" ht="15.6" x14ac:dyDescent="0.3">
      <c r="A8" s="68" t="s">
        <v>65</v>
      </c>
      <c r="B8" s="72" t="str">
        <f>INDEX(Pipe[],MATCH(A8,Pipe[Nome],0),2)</f>
        <v>CV-2</v>
      </c>
      <c r="C8" s="73" t="str">
        <f>INDEX(Pipe[],MATCH(A8,Pipe[Nome],0),3)</f>
        <v>CV-3</v>
      </c>
      <c r="D8" s="80">
        <f>INDEX(CV[],MATCH(B8,CV[Nome],0),4)</f>
        <v>679.06200000000001</v>
      </c>
      <c r="E8" s="81">
        <f>INDEX(CV[],MATCH(C8,CV[Nome],0),4)</f>
        <v>679.06600000000003</v>
      </c>
      <c r="F8" s="90">
        <f>INDEX(Pipe[],MATCH(A8,Pipe[Nome],0),8)</f>
        <v>21.234000000000002</v>
      </c>
      <c r="G8" s="86">
        <v>15.153944927298891</v>
      </c>
      <c r="H8" s="61">
        <v>16.780809596290517</v>
      </c>
      <c r="I8" s="93">
        <f>Parametros!$B$19*F8/1000*N8/10</f>
        <v>2.9491666666666668E-3</v>
      </c>
      <c r="J8" s="97">
        <v>59.173596154798972</v>
      </c>
      <c r="K8" s="98">
        <v>59.173596154798972</v>
      </c>
      <c r="L8" s="102">
        <f>MAX(hidro_minimumDiameter(K8/1000,Parametros!$B$28,Parametros!$B$25,Parametros!$B$27,Parametros!$B$29),200)</f>
        <v>200</v>
      </c>
      <c r="M8" s="62">
        <f t="shared" ref="M8:M19" si="4">0.3145*(K8/1000/(SQRT(U8)))^(3/8)*1000</f>
        <v>258.3263074136737</v>
      </c>
      <c r="N8" s="103">
        <v>240</v>
      </c>
      <c r="O8" s="112">
        <f t="shared" si="0"/>
        <v>-1.8837713101719407E-4</v>
      </c>
      <c r="P8" s="63" cm="1">
        <f t="array" ref="P8">hidro_slopeMinH(K8/1000,N8/1000,Parametros!$B$28,Parametros!$B$29)</f>
        <v>1.4865452175284843E-2</v>
      </c>
      <c r="Q8" s="63" cm="1">
        <f t="array" ref="Q8">hidro_slopeMinVELOCITY(J8/1000,N8/1000,Parametros!$B$26,Parametros!$B$29)</f>
        <v>7.1884155855806526E-3</v>
      </c>
      <c r="R8" s="63" cm="1">
        <f t="array" ref="R8">hidro_slopeMaxVELOCITY(K8/1000,N8/1000,Parametros!$B$27,Parametros!$B$29)</f>
        <v>0.35045002468046077</v>
      </c>
      <c r="S8" s="63">
        <f>MAX(P8,Q8,Parametros!$B$9)</f>
        <v>1.4865452175284843E-2</v>
      </c>
      <c r="T8" s="63">
        <f>MIN(R8,Parametros!$B$10)</f>
        <v>0.15</v>
      </c>
      <c r="U8" s="113">
        <v>0.01</v>
      </c>
      <c r="V8" s="121">
        <f>W7</f>
        <v>1.1984680000000445</v>
      </c>
      <c r="W8" s="122">
        <f t="shared" si="1"/>
        <v>1.4148080000000636</v>
      </c>
      <c r="X8" s="129">
        <f t="shared" si="2"/>
        <v>677.86353199999996</v>
      </c>
      <c r="Y8" s="130">
        <f t="shared" si="2"/>
        <v>677.65119199999992</v>
      </c>
      <c r="Z8" s="6"/>
      <c r="AA8" s="137" cm="1">
        <f t="array" ref="AA8">hidro_findTheta(J8/1000,N8/1000,U8,Parametros!$B$14)</f>
        <v>3.5704595788124025</v>
      </c>
      <c r="AB8" s="138" cm="1">
        <f t="array" ref="AB8">hidro_findTheta(K8/1000,N8/1000,U8,Parametros!$B$14)</f>
        <v>3.5704595788124025</v>
      </c>
      <c r="AC8" s="137">
        <f t="shared" ref="AC8:AC19" si="5">(N8/1000)*AA8/2</f>
        <v>0.4284551494574883</v>
      </c>
      <c r="AD8" s="138">
        <f t="shared" ref="AD8:AD19" si="6">(N8/1000)*AB8/2</f>
        <v>0.4284551494574883</v>
      </c>
      <c r="AE8" s="121">
        <f t="shared" ref="AE8:AF19" si="7">(1-COS(AA8/2))/2</f>
        <v>0.60639695021835671</v>
      </c>
      <c r="AF8" s="122">
        <f t="shared" si="7"/>
        <v>0.60639695021835671</v>
      </c>
      <c r="AG8" s="121">
        <f t="shared" si="3"/>
        <v>2.0616999810669077</v>
      </c>
      <c r="AH8" s="122">
        <f t="shared" ref="AH8:AH19" si="8">(K8/1000)/(((N8/1000)^2/8)*(AB8-SIN(AB8)))</f>
        <v>2.0616999810669077</v>
      </c>
      <c r="AI8" s="121">
        <f t="shared" ref="AI8:AJ19" si="9">9800*AC8*$U8</f>
        <v>41.988604646833856</v>
      </c>
      <c r="AJ8" s="122">
        <f t="shared" si="9"/>
        <v>41.988604646833856</v>
      </c>
      <c r="AK8" s="6"/>
      <c r="AL8" s="5"/>
      <c r="AM8" s="41"/>
      <c r="AN8" s="41"/>
      <c r="AO8" s="9"/>
      <c r="AP8" s="41"/>
      <c r="AQ8" s="47"/>
      <c r="AR8" s="42"/>
      <c r="AS8" s="47"/>
      <c r="AT8" s="41"/>
      <c r="AU8" s="41"/>
      <c r="AV8" s="47"/>
      <c r="AW8" s="41"/>
      <c r="AX8" s="48"/>
      <c r="AY8" s="48"/>
      <c r="AZ8" s="47"/>
      <c r="BA8" s="47"/>
      <c r="BB8" s="10"/>
      <c r="BC8" s="10"/>
      <c r="BD8" s="41"/>
      <c r="BE8" s="41"/>
      <c r="BF8" s="41"/>
      <c r="BG8" s="41"/>
      <c r="BH8" s="41"/>
      <c r="BI8" s="41"/>
      <c r="BJ8" s="47"/>
      <c r="BO8" s="47"/>
      <c r="BP8" s="47"/>
      <c r="BR8" s="47"/>
      <c r="BS8" s="47"/>
      <c r="BT8" s="47"/>
      <c r="BU8" s="47"/>
    </row>
    <row r="9" spans="1:73" s="16" customFormat="1" ht="15.6" x14ac:dyDescent="0.3">
      <c r="A9" s="68" t="s">
        <v>66</v>
      </c>
      <c r="B9" s="72" t="str">
        <f>INDEX(Pipe[],MATCH(A9,Pipe[Nome],0),2)</f>
        <v>CV-3</v>
      </c>
      <c r="C9" s="73" t="str">
        <f>INDEX(Pipe[],MATCH(A9,Pipe[Nome],0),3)</f>
        <v>CV-4</v>
      </c>
      <c r="D9" s="80">
        <f>INDEX(CV[],MATCH(B9,CV[Nome],0),4)</f>
        <v>679.06600000000003</v>
      </c>
      <c r="E9" s="81">
        <f>INDEX(CV[],MATCH(C9,CV[Nome],0),4)</f>
        <v>679.18200000000002</v>
      </c>
      <c r="F9" s="90">
        <f>INDEX(Pipe[],MATCH(A9,Pipe[Nome],0),8)</f>
        <v>9.0139999999999993</v>
      </c>
      <c r="G9" s="86">
        <v>15.184266320166078</v>
      </c>
      <c r="H9" s="61">
        <v>16.83050392295603</v>
      </c>
      <c r="I9" s="93">
        <f>Parametros!$B$19*F9/1000*N9/10</f>
        <v>1.2519444444444442E-3</v>
      </c>
      <c r="J9" s="97">
        <v>67.816009879227138</v>
      </c>
      <c r="K9" s="98">
        <v>67.816009879227138</v>
      </c>
      <c r="L9" s="102">
        <f>MAX(hidro_minimumDiameter(K9/1000,Parametros!$B$28,Parametros!$B$25,Parametros!$B$27,Parametros!$B$29),200)</f>
        <v>200</v>
      </c>
      <c r="M9" s="62">
        <f t="shared" si="4"/>
        <v>271.87560286190734</v>
      </c>
      <c r="N9" s="103">
        <v>240</v>
      </c>
      <c r="O9" s="112">
        <f t="shared" si="0"/>
        <v>-1.2868870645660689E-2</v>
      </c>
      <c r="P9" s="63" cm="1">
        <f t="array" ref="P9">hidro_slopeMinH(K9/1000,N9/1000,Parametros!$B$28,Parametros!$B$29)</f>
        <v>1.9524803150296009E-2</v>
      </c>
      <c r="Q9" s="63" cm="1">
        <f t="array" ref="Q9">hidro_slopeMinVELOCITY(J9/1000,N9/1000,Parametros!$B$26,Parametros!$B$29)</f>
        <v>6.586040581347959E-3</v>
      </c>
      <c r="R9" s="63" cm="1">
        <f t="array" ref="R9">hidro_slopeMaxVELOCITY(K9/1000,N9/1000,Parametros!$B$27,Parametros!$B$29)</f>
        <v>0.31512032815093849</v>
      </c>
      <c r="S9" s="63">
        <f>MAX(P9,Q9,Parametros!$B$9)</f>
        <v>1.9524803150296009E-2</v>
      </c>
      <c r="T9" s="63">
        <f>MIN(R9,Parametros!$B$10)</f>
        <v>0.15</v>
      </c>
      <c r="U9" s="113">
        <v>0.01</v>
      </c>
      <c r="V9" s="121">
        <f>W8</f>
        <v>1.4148080000000636</v>
      </c>
      <c r="W9" s="122">
        <f t="shared" si="1"/>
        <v>1.6209480000000491</v>
      </c>
      <c r="X9" s="129">
        <f t="shared" si="2"/>
        <v>677.65119199999992</v>
      </c>
      <c r="Y9" s="130">
        <f t="shared" si="2"/>
        <v>677.56105200000002</v>
      </c>
      <c r="Z9" s="6"/>
      <c r="AA9" s="137" cm="1">
        <f t="array" ref="AA9">hidro_findTheta(J9/1000,N9/1000,U9,Parametros!$B$14)</f>
        <v>3.8177172533168444</v>
      </c>
      <c r="AB9" s="138" cm="1">
        <f t="array" ref="AB9">hidro_findTheta(K9/1000,N9/1000,U9,Parametros!$B$14)</f>
        <v>3.8177172533168444</v>
      </c>
      <c r="AC9" s="137">
        <f t="shared" si="5"/>
        <v>0.45812607039802133</v>
      </c>
      <c r="AD9" s="138">
        <f t="shared" si="6"/>
        <v>0.45812607039802133</v>
      </c>
      <c r="AE9" s="121">
        <f t="shared" si="7"/>
        <v>0.66582984568557668</v>
      </c>
      <c r="AF9" s="122">
        <f t="shared" si="7"/>
        <v>0.66582984568557668</v>
      </c>
      <c r="AG9" s="121">
        <f t="shared" si="3"/>
        <v>2.1197044862696486</v>
      </c>
      <c r="AH9" s="122">
        <f t="shared" si="8"/>
        <v>2.1197044862696486</v>
      </c>
      <c r="AI9" s="121">
        <f t="shared" si="9"/>
        <v>44.896354899006091</v>
      </c>
      <c r="AJ9" s="122">
        <f t="shared" si="9"/>
        <v>44.896354899006091</v>
      </c>
      <c r="AK9" s="6"/>
      <c r="AL9" s="5"/>
      <c r="AM9" s="41"/>
      <c r="AN9" s="41"/>
      <c r="AO9" s="9"/>
      <c r="AP9" s="41"/>
      <c r="AQ9" s="47"/>
      <c r="AR9" s="42"/>
      <c r="AS9" s="47"/>
      <c r="AT9" s="41"/>
      <c r="AU9" s="41"/>
      <c r="AV9" s="47"/>
      <c r="AW9" s="41"/>
      <c r="AX9" s="48"/>
      <c r="AY9" s="48"/>
      <c r="AZ9" s="47"/>
      <c r="BA9" s="47"/>
      <c r="BB9" s="10"/>
      <c r="BC9" s="10"/>
      <c r="BD9" s="41"/>
      <c r="BE9" s="41"/>
      <c r="BF9" s="41"/>
      <c r="BG9" s="41"/>
      <c r="BH9" s="41"/>
      <c r="BI9" s="41"/>
      <c r="BJ9" s="47"/>
      <c r="BO9" s="47"/>
      <c r="BP9" s="47"/>
      <c r="BR9" s="47"/>
      <c r="BS9" s="47"/>
      <c r="BT9" s="47"/>
      <c r="BU9" s="47"/>
    </row>
    <row r="10" spans="1:73" s="16" customFormat="1" ht="15.6" x14ac:dyDescent="0.3">
      <c r="A10" s="68" t="s">
        <v>67</v>
      </c>
      <c r="B10" s="72" t="str">
        <f>INDEX(Pipe[],MATCH(A10,Pipe[Nome],0),2)</f>
        <v>CV-4</v>
      </c>
      <c r="C10" s="73" t="str">
        <f>INDEX(Pipe[],MATCH(A10,Pipe[Nome],0),3)</f>
        <v>CV-12</v>
      </c>
      <c r="D10" s="80">
        <f>INDEX(CV[],MATCH(B10,CV[Nome],0),4)</f>
        <v>679.18200000000002</v>
      </c>
      <c r="E10" s="81">
        <f>INDEX(CV[],MATCH(C10,CV[Nome],0),4)</f>
        <v>679.29600000000005</v>
      </c>
      <c r="F10" s="90">
        <f>INDEX(Pipe[],MATCH(A10,Pipe[Nome],0),8)</f>
        <v>41.375999999999998</v>
      </c>
      <c r="G10" s="86">
        <v>15.239246247620937</v>
      </c>
      <c r="H10" s="61">
        <v>16.918694594065162</v>
      </c>
      <c r="I10" s="93">
        <f>Parametros!$B$19*F10/1000*N10/10</f>
        <v>7.2312222222222205E-3</v>
      </c>
      <c r="J10" s="97">
        <v>82.611476418908737</v>
      </c>
      <c r="K10" s="98">
        <v>82.611476418908737</v>
      </c>
      <c r="L10" s="102">
        <f>MAX(hidro_minimumDiameter(K10/1000,Parametros!$B$28,Parametros!$B$25,Parametros!$B$27,Parametros!$B$29),200)</f>
        <v>200</v>
      </c>
      <c r="M10" s="62">
        <f t="shared" si="4"/>
        <v>292.75936313832091</v>
      </c>
      <c r="N10" s="103">
        <v>302</v>
      </c>
      <c r="O10" s="112">
        <f t="shared" si="0"/>
        <v>-2.755220417634202E-3</v>
      </c>
      <c r="P10" s="63" cm="1">
        <f t="array" ref="P10">hidro_slopeMinH(K10/1000,N10/1000,Parametros!$B$28,Parametros!$B$29)</f>
        <v>8.5066629373832386E-3</v>
      </c>
      <c r="Q10" s="63" cm="1">
        <f t="array" ref="Q10">hidro_slopeMinVELOCITY(J10/1000,N10/1000,Parametros!$B$26,Parametros!$B$29)</f>
        <v>5.7514721110758938E-3</v>
      </c>
      <c r="R10" s="63" cm="1">
        <f t="array" ref="R10">hidro_slopeMaxVELOCITY(K10/1000,N10/1000,Parametros!$B$27,Parametros!$B$29)</f>
        <v>0.28505896230320465</v>
      </c>
      <c r="S10" s="63">
        <f>MAX(P10,Q10,Parametros!$B$9)</f>
        <v>8.5066629373832386E-3</v>
      </c>
      <c r="T10" s="63">
        <f>MIN(R10,Parametros!$B$10)</f>
        <v>0.15</v>
      </c>
      <c r="U10" s="113">
        <v>0.01</v>
      </c>
      <c r="V10" s="121">
        <f>W9</f>
        <v>1.6209480000000491</v>
      </c>
      <c r="W10" s="122">
        <f t="shared" si="1"/>
        <v>2.1487080000000818</v>
      </c>
      <c r="X10" s="129">
        <f t="shared" si="2"/>
        <v>677.56105200000002</v>
      </c>
      <c r="Y10" s="130">
        <f t="shared" si="2"/>
        <v>677.14729199999999</v>
      </c>
      <c r="Z10" s="6"/>
      <c r="AA10" s="137" cm="1">
        <f t="array" ref="AA10">hidro_findTheta(J10/1000,N10/1000,U10,Parametros!$B$14)</f>
        <v>3.180398808916391</v>
      </c>
      <c r="AB10" s="138" cm="1">
        <f t="array" ref="AB10">hidro_findTheta(K10/1000,N10/1000,U10,Parametros!$B$14)</f>
        <v>3.180398808916391</v>
      </c>
      <c r="AC10" s="137">
        <f t="shared" si="5"/>
        <v>0.48024022014637502</v>
      </c>
      <c r="AD10" s="138">
        <f t="shared" si="6"/>
        <v>0.48024022014637502</v>
      </c>
      <c r="AE10" s="121">
        <f t="shared" si="7"/>
        <v>0.50970093010481832</v>
      </c>
      <c r="AF10" s="122">
        <f t="shared" si="7"/>
        <v>0.50970093010481832</v>
      </c>
      <c r="AG10" s="121">
        <f t="shared" si="3"/>
        <v>2.2509672173823736</v>
      </c>
      <c r="AH10" s="122">
        <f t="shared" si="8"/>
        <v>2.2509672173823736</v>
      </c>
      <c r="AI10" s="121">
        <f t="shared" si="9"/>
        <v>47.063541574344754</v>
      </c>
      <c r="AJ10" s="122">
        <f t="shared" si="9"/>
        <v>47.063541574344754</v>
      </c>
      <c r="AK10" s="6"/>
      <c r="AL10" s="5"/>
      <c r="AM10" s="41"/>
      <c r="AN10" s="41"/>
      <c r="AO10" s="9"/>
      <c r="AP10" s="41"/>
      <c r="AQ10" s="47"/>
      <c r="AR10" s="42"/>
      <c r="AS10" s="47"/>
      <c r="AT10" s="41"/>
      <c r="AU10" s="41"/>
      <c r="AV10" s="47"/>
      <c r="AW10" s="41"/>
      <c r="AX10" s="48"/>
      <c r="AY10" s="48"/>
      <c r="AZ10" s="47"/>
      <c r="BA10" s="47"/>
      <c r="BB10" s="10"/>
      <c r="BC10" s="10"/>
      <c r="BD10" s="41"/>
      <c r="BE10" s="41"/>
      <c r="BF10" s="41"/>
      <c r="BG10" s="41"/>
      <c r="BH10" s="41"/>
      <c r="BI10" s="41"/>
      <c r="BJ10" s="47"/>
      <c r="BO10" s="47"/>
      <c r="BP10" s="47"/>
      <c r="BR10" s="47"/>
      <c r="BS10" s="47"/>
      <c r="BT10" s="47"/>
      <c r="BU10" s="47"/>
    </row>
    <row r="11" spans="1:73" s="16" customFormat="1" ht="15.6" x14ac:dyDescent="0.3">
      <c r="A11" s="68" t="s">
        <v>77</v>
      </c>
      <c r="B11" s="72" t="str">
        <f>INDEX(Pipe[],MATCH(A11,Pipe[Nome],0),2)</f>
        <v>CV-12</v>
      </c>
      <c r="C11" s="73" t="str">
        <f>INDEX(Pipe[],MATCH(A11,Pipe[Nome],0),3)</f>
        <v>CV-14</v>
      </c>
      <c r="D11" s="80">
        <f>INDEX(CV[],MATCH(B11,CV[Nome],0),4)</f>
        <v>679.29600000000005</v>
      </c>
      <c r="E11" s="81">
        <f>INDEX(CV[],MATCH(C11,CV[Nome],0),4)</f>
        <v>679.28700000000003</v>
      </c>
      <c r="F11" s="90">
        <f>INDEX(Pipe[],MATCH(A11,Pipe[Nome],0),8)</f>
        <v>19.021000000000001</v>
      </c>
      <c r="G11" s="86">
        <v>30.35856017557116</v>
      </c>
      <c r="H11" s="61">
        <v>33.645500257208688</v>
      </c>
      <c r="I11" s="93">
        <f>Parametros!$B$19*F11/1000*N11/10</f>
        <v>3.3242719907407405E-3</v>
      </c>
      <c r="J11" s="97">
        <v>107.17368316857089</v>
      </c>
      <c r="K11" s="98">
        <v>107.17368316857089</v>
      </c>
      <c r="L11" s="102">
        <f>MAX(hidro_minimumDiameter(K11/1000,Parametros!$B$28,Parametros!$B$25,Parametros!$B$27,Parametros!$B$29),200)</f>
        <v>200</v>
      </c>
      <c r="M11" s="62">
        <f t="shared" si="4"/>
        <v>283.4396376528656</v>
      </c>
      <c r="N11" s="103">
        <v>302</v>
      </c>
      <c r="O11" s="112">
        <f t="shared" si="0"/>
        <v>4.7316124283762955E-4</v>
      </c>
      <c r="P11" s="63" cm="1">
        <f t="array" ref="P11">hidro_slopeMinH(K11/1000,N11/1000,Parametros!$B$28,Parametros!$B$29)</f>
        <v>1.4317090472655185E-2</v>
      </c>
      <c r="Q11" s="63" cm="1">
        <f t="array" ref="Q11">hidro_slopeMinVELOCITY(J11/1000,N11/1000,Parametros!$B$26,Parametros!$B$29)</f>
        <v>4.8534397402749769E-3</v>
      </c>
      <c r="R11" s="63" cm="1">
        <f t="array" ref="R11">hidro_slopeMaxVELOCITY(K11/1000,N11/1000,Parametros!$B$27,Parametros!$B$29)</f>
        <v>0.23230584103264598</v>
      </c>
      <c r="S11" s="63">
        <f>MAX(P11,Q11,Parametros!$B$9)</f>
        <v>1.4317090472655185E-2</v>
      </c>
      <c r="T11" s="63">
        <f>MIN(R11,Parametros!$B$10)</f>
        <v>0.15</v>
      </c>
      <c r="U11" s="113">
        <v>0.02</v>
      </c>
      <c r="V11" s="121">
        <f t="shared" ref="V11:V17" si="10">W10</f>
        <v>2.1487080000000818</v>
      </c>
      <c r="W11" s="122">
        <f t="shared" si="1"/>
        <v>2.5201280000000672</v>
      </c>
      <c r="X11" s="129">
        <f t="shared" si="2"/>
        <v>677.14729199999999</v>
      </c>
      <c r="Y11" s="130">
        <f t="shared" si="2"/>
        <v>676.76687199999992</v>
      </c>
      <c r="Z11" s="6"/>
      <c r="AA11" s="137" cm="1">
        <f t="array" ref="AA11">hidro_findTheta(J11/1000,N11/1000,U11,Parametros!$B$14)</f>
        <v>3.0796157004261917</v>
      </c>
      <c r="AB11" s="138" cm="1">
        <f t="array" ref="AB11">hidro_findTheta(K11/1000,N11/1000,U11,Parametros!$B$14)</f>
        <v>3.0796157004261917</v>
      </c>
      <c r="AC11" s="137">
        <f t="shared" si="5"/>
        <v>0.46502197076435492</v>
      </c>
      <c r="AD11" s="138">
        <f t="shared" si="6"/>
        <v>0.46502197076435492</v>
      </c>
      <c r="AE11" s="121">
        <f t="shared" si="7"/>
        <v>0.48450824140589688</v>
      </c>
      <c r="AF11" s="122">
        <f t="shared" si="7"/>
        <v>0.48450824140589688</v>
      </c>
      <c r="AG11" s="121">
        <f t="shared" si="3"/>
        <v>3.1152384928323604</v>
      </c>
      <c r="AH11" s="122">
        <f t="shared" si="8"/>
        <v>3.1152384928323604</v>
      </c>
      <c r="AI11" s="121">
        <f t="shared" si="9"/>
        <v>91.144306269813569</v>
      </c>
      <c r="AJ11" s="122">
        <f t="shared" si="9"/>
        <v>91.144306269813569</v>
      </c>
    </row>
    <row r="12" spans="1:73" s="16" customFormat="1" ht="17.399999999999999" customHeight="1" x14ac:dyDescent="0.3">
      <c r="A12" s="68" t="s">
        <v>79</v>
      </c>
      <c r="B12" s="72" t="str">
        <f>INDEX(Pipe[],MATCH(A12,Pipe[Nome],0),2)</f>
        <v>CV-14</v>
      </c>
      <c r="C12" s="73" t="str">
        <f>INDEX(Pipe[],MATCH(A12,Pipe[Nome],0),3)</f>
        <v>CV-17</v>
      </c>
      <c r="D12" s="80">
        <f>INDEX(CV[],MATCH(B12,CV[Nome],0),4)</f>
        <v>679.28700000000003</v>
      </c>
      <c r="E12" s="81">
        <f>INDEX(CV[],MATCH(C12,CV[Nome],0),4)</f>
        <v>678.92700000000002</v>
      </c>
      <c r="F12" s="90">
        <f>INDEX(Pipe[],MATCH(A12,Pipe[Nome],0),8)</f>
        <v>14.037000000000001</v>
      </c>
      <c r="G12" s="86">
        <v>30.410375866914908</v>
      </c>
      <c r="H12" s="61">
        <v>33.730526692206709</v>
      </c>
      <c r="I12" s="93">
        <f>Parametros!$B$19*F12/1000*N12/10</f>
        <v>2.4532256944444445E-3</v>
      </c>
      <c r="J12" s="97">
        <v>111.66953765807089</v>
      </c>
      <c r="K12" s="98">
        <v>111.66953765807089</v>
      </c>
      <c r="L12" s="102">
        <f>MAX(hidro_minimumDiameter(K12/1000,Parametros!$B$28,Parametros!$B$25,Parametros!$B$27,Parametros!$B$29),200)</f>
        <v>200</v>
      </c>
      <c r="M12" s="62">
        <f t="shared" si="4"/>
        <v>287.84125852175828</v>
      </c>
      <c r="N12" s="103">
        <v>302</v>
      </c>
      <c r="O12" s="112">
        <f t="shared" si="0"/>
        <v>2.5646505663604303E-2</v>
      </c>
      <c r="P12" s="63" cm="1">
        <f t="array" ref="P12">hidro_slopeMinH(K12/1000,N12/1000,Parametros!$B$28,Parametros!$B$29)</f>
        <v>1.5543466921263998E-2</v>
      </c>
      <c r="Q12" s="63" cm="1">
        <f t="array" ref="Q12">hidro_slopeMinVELOCITY(J12/1000,N12/1000,Parametros!$B$26,Parametros!$B$29)</f>
        <v>4.745388707227103E-3</v>
      </c>
      <c r="R12" s="63" cm="1">
        <f t="array" ref="R12">hidro_slopeMaxVELOCITY(K12/1000,N12/1000,Parametros!$B$27,Parametros!$B$29)</f>
        <v>0.2250789297045856</v>
      </c>
      <c r="S12" s="63">
        <f>MAX(P12,Q12,Parametros!$B$9)</f>
        <v>1.5543466921263998E-2</v>
      </c>
      <c r="T12" s="63">
        <f>MIN(R12,Parametros!$B$10)</f>
        <v>0.15</v>
      </c>
      <c r="U12" s="113">
        <v>0.02</v>
      </c>
      <c r="V12" s="121">
        <f t="shared" si="10"/>
        <v>2.5201280000000672</v>
      </c>
      <c r="W12" s="122">
        <f t="shared" si="1"/>
        <v>2.4408680000000538</v>
      </c>
      <c r="X12" s="129">
        <f t="shared" si="2"/>
        <v>676.76687199999992</v>
      </c>
      <c r="Y12" s="130">
        <f t="shared" si="2"/>
        <v>676.486132</v>
      </c>
      <c r="Z12" s="6"/>
      <c r="AA12" s="137" cm="1">
        <f t="array" ref="AA12">hidro_findTheta(J12/1000,N12/1000,U12,Parametros!$B$14)</f>
        <v>3.1267178514404304</v>
      </c>
      <c r="AB12" s="138" cm="1">
        <f t="array" ref="AB12">hidro_findTheta(K12/1000,N12/1000,U12,Parametros!$B$14)</f>
        <v>3.1267178514404304</v>
      </c>
      <c r="AC12" s="137">
        <f t="shared" si="5"/>
        <v>0.47213439556750497</v>
      </c>
      <c r="AD12" s="138">
        <f t="shared" si="6"/>
        <v>0.47213439556750497</v>
      </c>
      <c r="AE12" s="121">
        <f t="shared" si="7"/>
        <v>0.49628133374584404</v>
      </c>
      <c r="AF12" s="122">
        <f t="shared" si="7"/>
        <v>0.49628133374584404</v>
      </c>
      <c r="AG12" s="121">
        <f t="shared" si="3"/>
        <v>3.1476979993708429</v>
      </c>
      <c r="AH12" s="122">
        <f t="shared" si="8"/>
        <v>3.1476979993708429</v>
      </c>
      <c r="AI12" s="121">
        <f t="shared" si="9"/>
        <v>92.538341531230984</v>
      </c>
      <c r="AJ12" s="122">
        <f t="shared" si="9"/>
        <v>92.538341531230984</v>
      </c>
    </row>
    <row r="13" spans="1:73" s="16" customFormat="1" ht="15.6" x14ac:dyDescent="0.3">
      <c r="A13" s="68" t="s">
        <v>81</v>
      </c>
      <c r="B13" s="72" t="str">
        <f>INDEX(Pipe[],MATCH(A13,Pipe[Nome],0),2)</f>
        <v>CV-17</v>
      </c>
      <c r="C13" s="73" t="str">
        <f>INDEX(Pipe[],MATCH(A13,Pipe[Nome],0),3)</f>
        <v>CV-19</v>
      </c>
      <c r="D13" s="80">
        <f>INDEX(CV[],MATCH(B13,CV[Nome],0),4)</f>
        <v>678.92700000000002</v>
      </c>
      <c r="E13" s="81">
        <f>INDEX(CV[],MATCH(C13,CV[Nome],0),4)</f>
        <v>678.173</v>
      </c>
      <c r="F13" s="90">
        <f>INDEX(Pipe[],MATCH(A13,Pipe[Nome],0),8)</f>
        <v>45.237000000000002</v>
      </c>
      <c r="G13" s="86">
        <v>30.591280265784686</v>
      </c>
      <c r="H13" s="61">
        <v>34.027668693866445</v>
      </c>
      <c r="I13" s="93">
        <f>Parametros!$B$19*F13/1000*N13/10</f>
        <v>7.9060034722222231E-3</v>
      </c>
      <c r="J13" s="97">
        <v>145.25220912334461</v>
      </c>
      <c r="K13" s="98">
        <v>145.25220912334461</v>
      </c>
      <c r="L13" s="102">
        <f>MAX(hidro_minimumDiameter(K13/1000,Parametros!$B$28,Parametros!$B$25,Parametros!$B$27,Parametros!$B$29),200)</f>
        <v>217.8841168083932</v>
      </c>
      <c r="M13" s="62">
        <f t="shared" si="4"/>
        <v>294.41263509117584</v>
      </c>
      <c r="N13" s="103">
        <v>302</v>
      </c>
      <c r="O13" s="112">
        <f t="shared" si="0"/>
        <v>1.6667771956584632E-2</v>
      </c>
      <c r="P13" s="63" cm="1">
        <f t="array" ref="P13">hidro_slopeMinH(K13/1000,N13/1000,Parametros!$B$28,Parametros!$B$29)</f>
        <v>2.6298074398691751E-2</v>
      </c>
      <c r="Q13" s="63" cm="1">
        <f t="array" ref="Q13">hidro_slopeMinVELOCITY(J13/1000,N13/1000,Parametros!$B$26,Parametros!$B$29)</f>
        <v>5.540333913430927E-3</v>
      </c>
      <c r="R13" s="63" cm="1">
        <f t="array" ref="R13">hidro_slopeMaxVELOCITY(K13/1000,N13/1000,Parametros!$B$27,Parametros!$B$29)</f>
        <v>0.18499306683736677</v>
      </c>
      <c r="S13" s="63">
        <f>MAX(P13,Q13,Parametros!$B$9)</f>
        <v>2.6298074398691751E-2</v>
      </c>
      <c r="T13" s="63">
        <f>MIN(R13,Parametros!$B$10)</f>
        <v>0.15</v>
      </c>
      <c r="U13" s="113">
        <v>0.03</v>
      </c>
      <c r="V13" s="121">
        <f t="shared" si="10"/>
        <v>2.4408680000000538</v>
      </c>
      <c r="W13" s="122">
        <f t="shared" si="1"/>
        <v>3.0439780000000347</v>
      </c>
      <c r="X13" s="129">
        <f t="shared" si="2"/>
        <v>676.486132</v>
      </c>
      <c r="Y13" s="130">
        <f t="shared" si="2"/>
        <v>675.12902199999996</v>
      </c>
      <c r="Z13" s="6"/>
      <c r="AA13" s="137" cm="1">
        <f t="array" ref="AA13">hidro_findTheta(J13/1000,N13/1000,U13,Parametros!$B$14)</f>
        <v>3.1987120995450775</v>
      </c>
      <c r="AB13" s="138" cm="1">
        <f t="array" ref="AB13">hidro_findTheta(K13/1000,N13/1000,U13,Parametros!$B$14)</f>
        <v>3.1987120995450775</v>
      </c>
      <c r="AC13" s="137">
        <f t="shared" si="5"/>
        <v>0.48300552703130667</v>
      </c>
      <c r="AD13" s="138">
        <f t="shared" si="6"/>
        <v>0.48300552703130667</v>
      </c>
      <c r="AE13" s="121">
        <f t="shared" si="7"/>
        <v>0.51427792032131059</v>
      </c>
      <c r="AF13" s="122">
        <f t="shared" si="7"/>
        <v>0.51427792032131059</v>
      </c>
      <c r="AG13" s="121">
        <f t="shared" si="3"/>
        <v>3.9132812590479902</v>
      </c>
      <c r="AH13" s="122">
        <f t="shared" si="8"/>
        <v>3.9132812590479902</v>
      </c>
      <c r="AI13" s="121">
        <f t="shared" si="9"/>
        <v>142.00362494720414</v>
      </c>
      <c r="AJ13" s="122">
        <f t="shared" si="9"/>
        <v>142.00362494720414</v>
      </c>
    </row>
    <row r="14" spans="1:73" s="49" customFormat="1" ht="16.2" thickBot="1" x14ac:dyDescent="0.35">
      <c r="A14" s="68" t="s">
        <v>83</v>
      </c>
      <c r="B14" s="72" t="str">
        <f>INDEX(Pipe[],MATCH(A14,Pipe[Nome],0),2)</f>
        <v>CV-19</v>
      </c>
      <c r="C14" s="73" t="str">
        <f>INDEX(Pipe[],MATCH(A14,Pipe[Nome],0),3)</f>
        <v>CV-21</v>
      </c>
      <c r="D14" s="80">
        <f>INDEX(CV[],MATCH(B14,CV[Nome],0),4)</f>
        <v>678.173</v>
      </c>
      <c r="E14" s="81">
        <f>INDEX(CV[],MATCH(C14,CV[Nome],0),4)</f>
        <v>677.70299999999997</v>
      </c>
      <c r="F14" s="90">
        <f>INDEX(Pipe[],MATCH(A14,Pipe[Nome],0),8)</f>
        <v>10.872999999999999</v>
      </c>
      <c r="G14" s="86">
        <v>30.688738205443535</v>
      </c>
      <c r="H14" s="61">
        <v>34.188780558862646</v>
      </c>
      <c r="I14" s="93">
        <f>Parametros!$B$19*F14/1000*N14/10</f>
        <v>1.9002581018518513E-3</v>
      </c>
      <c r="J14" s="97">
        <v>182.33226471386462</v>
      </c>
      <c r="K14" s="98">
        <v>182.33226471386462</v>
      </c>
      <c r="L14" s="102">
        <f>MAX(hidro_minimumDiameter(K14/1000,Parametros!$B$28,Parametros!$B$25,Parametros!$B$27,Parametros!$B$29),200)</f>
        <v>237.27575554208926</v>
      </c>
      <c r="M14" s="62">
        <f t="shared" si="4"/>
        <v>320.61529521139084</v>
      </c>
      <c r="N14" s="103">
        <v>302</v>
      </c>
      <c r="O14" s="112">
        <f t="shared" si="0"/>
        <v>4.3226340476411967E-2</v>
      </c>
      <c r="P14" s="63" cm="1">
        <f t="array" ref="P14">hidro_slopeMinH(K14/1000,N14/1000,Parametros!$B$28,Parametros!$B$29)</f>
        <v>4.1438641543991191E-2</v>
      </c>
      <c r="Q14" s="63" cm="1">
        <f t="array" ref="Q14">hidro_slopeMinVELOCITY(J14/1000,N14/1000,Parametros!$B$26,Parametros!$B$29)</f>
        <v>4.8288115809184242E-3</v>
      </c>
      <c r="R14" s="63" cm="1">
        <f t="array" ref="R14">hidro_slopeMaxVELOCITY(K14/1000,N14/1000,Parametros!$B$27,Parametros!$B$29)</f>
        <v>0.15799256638674694</v>
      </c>
      <c r="S14" s="63">
        <f>MAX(P14,Q14,Parametros!$B$9)</f>
        <v>4.1438641543991191E-2</v>
      </c>
      <c r="T14" s="63">
        <f>MIN(R14,Parametros!$B$10)</f>
        <v>0.15</v>
      </c>
      <c r="U14" s="113">
        <v>0.03</v>
      </c>
      <c r="V14" s="121">
        <f t="shared" si="10"/>
        <v>3.0439780000000347</v>
      </c>
      <c r="W14" s="122">
        <f t="shared" si="1"/>
        <v>2.9001680000000074</v>
      </c>
      <c r="X14" s="129">
        <f t="shared" si="2"/>
        <v>675.12902199999996</v>
      </c>
      <c r="Y14" s="130">
        <f t="shared" si="2"/>
        <v>674.80283199999997</v>
      </c>
      <c r="Z14" s="6"/>
      <c r="AA14" s="137" cm="1">
        <f t="array" ref="AA14">hidro_findTheta(J14/1000,N14/1000,U14,Parametros!$B$14)</f>
        <v>3.5118499440781275</v>
      </c>
      <c r="AB14" s="138" cm="1">
        <f t="array" ref="AB14">hidro_findTheta(K14/1000,N14/1000,U14,Parametros!$B$14)</f>
        <v>3.5118499440781275</v>
      </c>
      <c r="AC14" s="137">
        <f t="shared" si="5"/>
        <v>0.53028934155579721</v>
      </c>
      <c r="AD14" s="138">
        <f t="shared" si="6"/>
        <v>0.53028934155579721</v>
      </c>
      <c r="AE14" s="121">
        <f t="shared" si="7"/>
        <v>0.59203649103976741</v>
      </c>
      <c r="AF14" s="122">
        <f t="shared" si="7"/>
        <v>0.59203649103976741</v>
      </c>
      <c r="AG14" s="121">
        <f t="shared" si="3"/>
        <v>4.1286974206398694</v>
      </c>
      <c r="AH14" s="122">
        <f t="shared" si="8"/>
        <v>4.1286974206398694</v>
      </c>
      <c r="AI14" s="121">
        <f t="shared" si="9"/>
        <v>155.90506641740438</v>
      </c>
      <c r="AJ14" s="122">
        <f t="shared" si="9"/>
        <v>155.90506641740438</v>
      </c>
    </row>
    <row r="15" spans="1:73" s="16" customFormat="1" ht="15.6" x14ac:dyDescent="0.3">
      <c r="A15" s="68" t="s">
        <v>129</v>
      </c>
      <c r="B15" s="72" t="str">
        <f>INDEX(Pipe[],MATCH(A15,Pipe[Nome],0),2)</f>
        <v>CV-21</v>
      </c>
      <c r="C15" s="73" t="str">
        <f>INDEX(Pipe[],MATCH(A15,Pipe[Nome],0),3)</f>
        <v>CV-24</v>
      </c>
      <c r="D15" s="80">
        <f>INDEX(CV[],MATCH(B15,CV[Nome],0),4)</f>
        <v>677.70299999999997</v>
      </c>
      <c r="E15" s="81">
        <f>INDEX(CV[],MATCH(C15,CV[Nome],0),4)</f>
        <v>676.57399999999996</v>
      </c>
      <c r="F15" s="90">
        <f>INDEX(Pipe[],MATCH(A15,Pipe[Nome],0),8)</f>
        <v>19.587</v>
      </c>
      <c r="G15" s="86">
        <v>30.850510261596881</v>
      </c>
      <c r="H15" s="61">
        <v>34.455719969921191</v>
      </c>
      <c r="I15" s="93">
        <f>Parametros!$B$19*F15/1000*N15/10</f>
        <v>3.4231909722222224E-3</v>
      </c>
      <c r="J15" s="97">
        <v>207.7420686360505</v>
      </c>
      <c r="K15" s="98">
        <v>207.7420686360505</v>
      </c>
      <c r="L15" s="102">
        <f>MAX(hidro_minimumDiameter(K15/1000,Parametros!$B$28,Parametros!$B$25,Parametros!$B$27,Parametros!$B$29),200)</f>
        <v>249.17313253752113</v>
      </c>
      <c r="M15" s="62">
        <f t="shared" si="4"/>
        <v>317.68316363928335</v>
      </c>
      <c r="N15" s="103">
        <v>302</v>
      </c>
      <c r="O15" s="112">
        <f t="shared" si="0"/>
        <v>5.7640271608721046E-2</v>
      </c>
      <c r="P15" s="63" cm="1">
        <f t="array" ref="P15">hidro_slopeMinH(K15/1000,N15/1000,Parametros!$B$28,Parametros!$B$29)</f>
        <v>5.379319764750437E-2</v>
      </c>
      <c r="Q15" s="63" cm="1">
        <f t="array" ref="Q15">hidro_slopeMinVELOCITY(J15/1000,N15/1000,Parametros!$B$26,Parametros!$B$29)</f>
        <v>5.4573881820851478E-3</v>
      </c>
      <c r="R15" s="63" cm="1">
        <f t="array" ref="R15">hidro_slopeMaxVELOCITY(K15/1000,N15/1000,Parametros!$B$27,Parametros!$B$29)</f>
        <v>0.14543264713488607</v>
      </c>
      <c r="S15" s="63">
        <f>MAX(P15,Q15,Parametros!$B$9)</f>
        <v>5.379319764750437E-2</v>
      </c>
      <c r="T15" s="63">
        <f>MIN(R15,Parametros!$B$10)</f>
        <v>0.14543264713488607</v>
      </c>
      <c r="U15" s="113">
        <v>4.0899999999999999E-2</v>
      </c>
      <c r="V15" s="121">
        <f t="shared" si="10"/>
        <v>2.9001680000000074</v>
      </c>
      <c r="W15" s="122">
        <f t="shared" si="1"/>
        <v>2.5722762999999884</v>
      </c>
      <c r="X15" s="129">
        <f t="shared" si="2"/>
        <v>674.80283199999997</v>
      </c>
      <c r="Y15" s="130">
        <f t="shared" si="2"/>
        <v>674.00172369999996</v>
      </c>
      <c r="Z15" s="6"/>
      <c r="AA15" s="137" cm="1">
        <f t="array" ref="AA15">hidro_findTheta(J15/1000,N15/1000,U15,Parametros!$B$14)</f>
        <v>3.4742318404872727</v>
      </c>
      <c r="AB15" s="138" cm="1">
        <f t="array" ref="AB15">hidro_findTheta(K15/1000,N15/1000,U15,Parametros!$B$14)</f>
        <v>3.4742318404872727</v>
      </c>
      <c r="AC15" s="137">
        <f t="shared" si="5"/>
        <v>0.52460900791357812</v>
      </c>
      <c r="AD15" s="138">
        <f t="shared" si="6"/>
        <v>0.52460900791357812</v>
      </c>
      <c r="AE15" s="121">
        <f t="shared" si="7"/>
        <v>0.58277692940183112</v>
      </c>
      <c r="AF15" s="122">
        <f t="shared" si="7"/>
        <v>0.58277692940183112</v>
      </c>
      <c r="AG15" s="121">
        <f t="shared" si="3"/>
        <v>4.7943408217029493</v>
      </c>
      <c r="AH15" s="122">
        <f t="shared" si="8"/>
        <v>4.7943408217029493</v>
      </c>
      <c r="AI15" s="121">
        <f t="shared" si="9"/>
        <v>210.27378255192036</v>
      </c>
      <c r="AJ15" s="122">
        <f t="shared" si="9"/>
        <v>210.27378255192036</v>
      </c>
    </row>
    <row r="16" spans="1:73" s="16" customFormat="1" ht="15.6" x14ac:dyDescent="0.3">
      <c r="A16" s="68" t="s">
        <v>131</v>
      </c>
      <c r="B16" s="72" t="str">
        <f>INDEX(Pipe[],MATCH(A16,Pipe[Nome],0),2)</f>
        <v>CV-24</v>
      </c>
      <c r="C16" s="73" t="str">
        <f>INDEX(Pipe[],MATCH(A16,Pipe[Nome],0),3)</f>
        <v>CV-26</v>
      </c>
      <c r="D16" s="80">
        <f>INDEX(CV[],MATCH(B16,CV[Nome],0),4)</f>
        <v>676.57399999999996</v>
      </c>
      <c r="E16" s="81">
        <f>INDEX(CV[],MATCH(C16,CV[Nome],0),4)</f>
        <v>675.12</v>
      </c>
      <c r="F16" s="90">
        <f>INDEX(Pipe[],MATCH(A16,Pipe[Nome],0),8)</f>
        <v>23.908999999999999</v>
      </c>
      <c r="G16" s="86">
        <v>30.920890703064469</v>
      </c>
      <c r="H16" s="61">
        <v>34.570381402927808</v>
      </c>
      <c r="I16" s="93">
        <f>Parametros!$B$19*F16/1000*N16/10</f>
        <v>4.1785405092592594E-3</v>
      </c>
      <c r="J16" s="97">
        <v>219.53481097655049</v>
      </c>
      <c r="K16" s="98">
        <v>219.53481097655049</v>
      </c>
      <c r="L16" s="102">
        <f>MAX(hidro_minimumDiameter(K16/1000,Parametros!$B$28,Parametros!$B$25,Parametros!$B$27,Parametros!$B$29),200)</f>
        <v>254.38606396169416</v>
      </c>
      <c r="M16" s="62">
        <f t="shared" si="4"/>
        <v>324.47828825492422</v>
      </c>
      <c r="N16" s="103">
        <v>302</v>
      </c>
      <c r="O16" s="112">
        <f t="shared" si="0"/>
        <v>6.0813919444558572E-2</v>
      </c>
      <c r="P16" s="63" cm="1">
        <f t="array" ref="P16">hidro_slopeMinH(K16/1000,N16/1000,Parametros!$B$28,Parametros!$B$29)</f>
        <v>6.007381970754555E-2</v>
      </c>
      <c r="Q16" s="63" cm="1">
        <f t="array" ref="Q16">hidro_slopeMinVELOCITY(J16/1000,N16/1000,Parametros!$B$26,Parametros!$B$29)</f>
        <v>5.2760203099904103E-3</v>
      </c>
      <c r="R16" s="63" cm="1">
        <f t="array" ref="R16">hidro_slopeMaxVELOCITY(K16/1000,N16/1000,Parametros!$B$27,Parametros!$B$29)</f>
        <v>0.1407612704452112</v>
      </c>
      <c r="S16" s="63">
        <f>MAX(P16,Q16,Parametros!$B$9)</f>
        <v>6.007381970754555E-2</v>
      </c>
      <c r="T16" s="63">
        <f>MIN(R16,Parametros!$B$10)</f>
        <v>0.1407612704452112</v>
      </c>
      <c r="U16" s="113">
        <v>4.0800000000000003E-2</v>
      </c>
      <c r="V16" s="121">
        <f t="shared" si="10"/>
        <v>2.5722762999999884</v>
      </c>
      <c r="W16" s="122">
        <f t="shared" si="1"/>
        <v>2.0937635000000374</v>
      </c>
      <c r="X16" s="129">
        <f t="shared" si="2"/>
        <v>674.00172369999996</v>
      </c>
      <c r="Y16" s="130">
        <f t="shared" si="2"/>
        <v>673.02623649999998</v>
      </c>
      <c r="Z16" s="6"/>
      <c r="AA16" s="137" cm="1">
        <f t="array" ref="AA16">hidro_findTheta(J16/1000,N16/1000,U16,Parametros!$B$14)</f>
        <v>3.5626670301402945</v>
      </c>
      <c r="AB16" s="138" cm="1">
        <f t="array" ref="AB16">hidro_findTheta(K16/1000,N16/1000,U16,Parametros!$B$14)</f>
        <v>3.5626670301402945</v>
      </c>
      <c r="AC16" s="137">
        <f t="shared" si="5"/>
        <v>0.53796272155118441</v>
      </c>
      <c r="AD16" s="138">
        <f t="shared" si="6"/>
        <v>0.53796272155118441</v>
      </c>
      <c r="AE16" s="121">
        <f t="shared" si="7"/>
        <v>0.60449262824164396</v>
      </c>
      <c r="AF16" s="122">
        <f t="shared" si="7"/>
        <v>0.60449262824164396</v>
      </c>
      <c r="AG16" s="121">
        <f t="shared" si="3"/>
        <v>4.8488077186709342</v>
      </c>
      <c r="AH16" s="122">
        <f t="shared" si="8"/>
        <v>4.8488077186709342</v>
      </c>
      <c r="AI16" s="121">
        <f t="shared" si="9"/>
        <v>215.0990145850256</v>
      </c>
      <c r="AJ16" s="122">
        <f t="shared" si="9"/>
        <v>215.0990145850256</v>
      </c>
    </row>
    <row r="17" spans="1:36" s="49" customFormat="1" ht="16.2" thickBot="1" x14ac:dyDescent="0.35">
      <c r="A17" s="68" t="s">
        <v>133</v>
      </c>
      <c r="B17" s="72" t="str">
        <f>INDEX(Pipe[],MATCH(A17,Pipe[Nome],0),2)</f>
        <v>CV-26</v>
      </c>
      <c r="C17" s="73" t="str">
        <f>INDEX(Pipe[],MATCH(A17,Pipe[Nome],0),3)</f>
        <v>CV-27</v>
      </c>
      <c r="D17" s="80">
        <f>INDEX(CV[],MATCH(B17,CV[Nome],0),4)</f>
        <v>675.12</v>
      </c>
      <c r="E17" s="81">
        <f>INDEX(CV[],MATCH(C17,CV[Nome],0),4)</f>
        <v>673.43600000000004</v>
      </c>
      <c r="F17" s="90">
        <f>INDEX(Pipe[],MATCH(A17,Pipe[Nome],0),8)</f>
        <v>27.832000000000001</v>
      </c>
      <c r="G17" s="86">
        <v>31.134046650793046</v>
      </c>
      <c r="H17" s="61">
        <v>34.921915449215845</v>
      </c>
      <c r="I17" s="93">
        <f>Parametros!$B$19*F17/1000*N17/10</f>
        <v>4.8641574074074073E-3</v>
      </c>
      <c r="J17" s="97">
        <v>255.81594548695057</v>
      </c>
      <c r="K17" s="98">
        <v>255.81594548695057</v>
      </c>
      <c r="L17" s="102">
        <f>MAX(hidro_minimumDiameter(K17/1000,Parametros!$B$28,Parametros!$B$25,Parametros!$B$27,Parametros!$B$29),200)</f>
        <v>269.40298093855864</v>
      </c>
      <c r="M17" s="62">
        <f t="shared" si="4"/>
        <v>344.1246604676432</v>
      </c>
      <c r="N17" s="103">
        <v>302</v>
      </c>
      <c r="O17" s="112">
        <f t="shared" si="0"/>
        <v>6.0505892497843099E-2</v>
      </c>
      <c r="P17" s="63" cm="1">
        <f t="array" ref="P17">hidro_slopeMinH(K17/1000,N17/1000,Parametros!$B$28,Parametros!$B$29)</f>
        <v>8.1570604344331832E-2</v>
      </c>
      <c r="Q17" s="63" cm="1">
        <f t="array" ref="Q17">hidro_slopeMinVELOCITY(J17/1000,N17/1000,Parametros!$B$26,Parametros!$B$29)</f>
        <v>4.9370065669774024E-3</v>
      </c>
      <c r="R17" s="63" cm="1">
        <f t="array" ref="R17">hidro_slopeMaxVELOCITY(K17/1000,N17/1000,Parametros!$B$27,Parametros!$B$29)</f>
        <v>0.13000686138657358</v>
      </c>
      <c r="S17" s="63">
        <f>MAX(P17,Q17,Parametros!$B$9)</f>
        <v>8.1570604344331832E-2</v>
      </c>
      <c r="T17" s="63">
        <f>MIN(R17,Parametros!$B$10)</f>
        <v>0.13000686138657358</v>
      </c>
      <c r="U17" s="113">
        <v>4.0489999999999998E-2</v>
      </c>
      <c r="V17" s="121">
        <f t="shared" si="10"/>
        <v>2.0937635000000374</v>
      </c>
      <c r="W17" s="122">
        <f t="shared" si="1"/>
        <v>1.5366811800000684</v>
      </c>
      <c r="X17" s="129">
        <f t="shared" si="2"/>
        <v>673.02623649999998</v>
      </c>
      <c r="Y17" s="130">
        <f t="shared" si="2"/>
        <v>671.89931881999996</v>
      </c>
      <c r="Z17" s="6"/>
      <c r="AA17" s="137" cm="1">
        <f t="array" ref="AA17">hidro_findTheta(J17/1000,N17/1000,U17,Parametros!$B$14)</f>
        <v>3.8499529573834326</v>
      </c>
      <c r="AB17" s="138" cm="1">
        <f t="array" ref="AB17">hidro_findTheta(K17/1000,N17/1000,U17,Parametros!$B$14)</f>
        <v>3.8499529573834326</v>
      </c>
      <c r="AC17" s="137">
        <f t="shared" si="5"/>
        <v>0.58134289656489835</v>
      </c>
      <c r="AD17" s="138">
        <f t="shared" si="6"/>
        <v>0.58134289656489835</v>
      </c>
      <c r="AE17" s="121">
        <f t="shared" si="7"/>
        <v>0.67341076040500247</v>
      </c>
      <c r="AF17" s="122">
        <f t="shared" si="7"/>
        <v>0.67341076040500247</v>
      </c>
      <c r="AG17" s="121">
        <f t="shared" si="3"/>
        <v>4.985845973259222</v>
      </c>
      <c r="AH17" s="122">
        <f t="shared" si="8"/>
        <v>4.985845973259222</v>
      </c>
      <c r="AI17" s="121">
        <f t="shared" si="9"/>
        <v>230.67802404274479</v>
      </c>
      <c r="AJ17" s="122">
        <f t="shared" si="9"/>
        <v>230.67802404274479</v>
      </c>
    </row>
    <row r="18" spans="1:36" s="16" customFormat="1" ht="15.6" x14ac:dyDescent="0.3">
      <c r="A18" s="68" t="s">
        <v>135</v>
      </c>
      <c r="B18" s="72" t="str">
        <f>INDEX(Pipe[],MATCH(A18,Pipe[Nome],0),2)</f>
        <v>CV-27</v>
      </c>
      <c r="C18" s="73" t="str">
        <f>INDEX(Pipe[],MATCH(A18,Pipe[Nome],0),3)</f>
        <v>CV-29</v>
      </c>
      <c r="D18" s="80">
        <f>INDEX(CV[],MATCH(B18,CV[Nome],0),4)</f>
        <v>673.43600000000004</v>
      </c>
      <c r="E18" s="81">
        <f>INDEX(CV[],MATCH(C18,CV[Nome],0),4)</f>
        <v>672.44</v>
      </c>
      <c r="F18" s="90">
        <f>INDEX(Pipe[],MATCH(A18,Pipe[Nome],0),8)</f>
        <v>20.010999999999999</v>
      </c>
      <c r="G18" s="86">
        <v>46.237323837878691</v>
      </c>
      <c r="H18" s="61">
        <v>51.62161412361003</v>
      </c>
      <c r="I18" s="93">
        <f>Parametros!$B$19*F18/1000*N18/10</f>
        <v>5.0027499999999994E-3</v>
      </c>
      <c r="J18" s="97">
        <v>325.46351171898061</v>
      </c>
      <c r="K18" s="98">
        <v>325.46351171898061</v>
      </c>
      <c r="L18" s="102">
        <f>MAX(hidro_minimumDiameter(K18/1000,Parametros!$B$28,Parametros!$B$25,Parametros!$B$27,Parametros!$B$29),200)</f>
        <v>294.86138925308308</v>
      </c>
      <c r="M18" s="62">
        <f t="shared" si="4"/>
        <v>476.90093017872266</v>
      </c>
      <c r="N18" s="103">
        <v>432</v>
      </c>
      <c r="O18" s="112">
        <f t="shared" si="0"/>
        <v>4.9772625056218128E-2</v>
      </c>
      <c r="P18" s="63" cm="1">
        <f t="array" ref="P18">hidro_slopeMinH(K18/1000,N18/1000,Parametros!$B$28,Parametros!$B$29)</f>
        <v>1.9564711529641513E-2</v>
      </c>
      <c r="Q18" s="63" cm="1">
        <f t="array" ref="Q18">hidro_slopeMinVELOCITY(J18/1000,N18/1000,Parametros!$B$26,Parametros!$B$29)</f>
        <v>3.2426711139918749E-3</v>
      </c>
      <c r="R18" s="63" cm="1">
        <f t="array" ref="R18">hidro_slopeMaxVELOCITY(K18/1000,N18/1000,Parametros!$B$27,Parametros!$B$29)</f>
        <v>0.10759249899557422</v>
      </c>
      <c r="S18" s="63">
        <f>MAX(P18,Q18,Parametros!$B$9)</f>
        <v>1.9564711529641513E-2</v>
      </c>
      <c r="T18" s="63">
        <f>MIN(R18,Parametros!$B$10)</f>
        <v>0.10759249899557422</v>
      </c>
      <c r="U18" s="113">
        <v>1.15E-2</v>
      </c>
      <c r="V18" s="121">
        <v>3.1539999999999999</v>
      </c>
      <c r="W18" s="122">
        <f t="shared" si="1"/>
        <v>2.3881265000000189</v>
      </c>
      <c r="X18" s="129">
        <f t="shared" si="2"/>
        <v>670.28200000000004</v>
      </c>
      <c r="Y18" s="130">
        <f t="shared" si="2"/>
        <v>670.05187350000006</v>
      </c>
      <c r="Z18" s="6"/>
      <c r="AA18" s="137" cm="1">
        <f t="array" ref="AA18">hidro_findTheta(J18/1000,N18/1000,U18,Parametros!$B$14)</f>
        <v>3.6861950700676842</v>
      </c>
      <c r="AB18" s="138" cm="1">
        <f t="array" ref="AB18">hidro_findTheta(K18/1000,N18/1000,U18,Parametros!$B$14)</f>
        <v>3.6861950700676842</v>
      </c>
      <c r="AC18" s="137">
        <f t="shared" si="5"/>
        <v>0.79621813513461981</v>
      </c>
      <c r="AD18" s="138">
        <f t="shared" si="6"/>
        <v>0.79621813513461981</v>
      </c>
      <c r="AE18" s="121">
        <f t="shared" si="7"/>
        <v>0.63447428300639497</v>
      </c>
      <c r="AF18" s="122">
        <f t="shared" si="7"/>
        <v>0.63447428300639497</v>
      </c>
      <c r="AG18" s="121">
        <f t="shared" si="3"/>
        <v>3.3184392904891604</v>
      </c>
      <c r="AH18" s="122">
        <f t="shared" si="8"/>
        <v>3.3184392904891604</v>
      </c>
      <c r="AI18" s="121">
        <f t="shared" si="9"/>
        <v>89.733783829671651</v>
      </c>
      <c r="AJ18" s="122">
        <f t="shared" si="9"/>
        <v>89.733783829671651</v>
      </c>
    </row>
    <row r="19" spans="1:36" s="16" customFormat="1" ht="15.6" x14ac:dyDescent="0.3">
      <c r="A19" s="68" t="s">
        <v>137</v>
      </c>
      <c r="B19" s="72" t="str">
        <f>INDEX(Pipe[],MATCH(A19,Pipe[Nome],0),2)</f>
        <v>CV-29</v>
      </c>
      <c r="C19" s="73" t="str">
        <f>INDEX(Pipe[],MATCH(A19,Pipe[Nome],0),3)</f>
        <v>CV-30</v>
      </c>
      <c r="D19" s="80">
        <f>INDEX(CV[],MATCH(B19,CV[Nome],0),4)</f>
        <v>672.44</v>
      </c>
      <c r="E19" s="81">
        <f>INDEX(CV[],MATCH(C19,CV[Nome],0),4)</f>
        <v>672.18299999999999</v>
      </c>
      <c r="F19" s="90">
        <f>INDEX(Pipe[],MATCH(A19,Pipe[Nome],0),8)</f>
        <v>10.378</v>
      </c>
      <c r="G19" s="86">
        <v>46.238825284637947</v>
      </c>
      <c r="H19" s="61">
        <v>51.623115570369286</v>
      </c>
      <c r="I19" s="93">
        <f>Parametros!$B$19*F19/1000*N19/10</f>
        <v>2.5944999999999996E-3</v>
      </c>
      <c r="J19" s="97">
        <v>327.86227481475834</v>
      </c>
      <c r="K19" s="98">
        <v>327.86227481475834</v>
      </c>
      <c r="L19" s="102">
        <f>MAX(hidro_minimumDiameter(K19/1000,Parametros!$B$28,Parametros!$B$25,Parametros!$B$27,Parametros!$B$29),200)</f>
        <v>295.67447581306214</v>
      </c>
      <c r="M19" s="62">
        <f t="shared" si="4"/>
        <v>478.21599464936105</v>
      </c>
      <c r="N19" s="103">
        <v>432</v>
      </c>
      <c r="O19" s="112">
        <f t="shared" si="0"/>
        <v>2.4763923684723632E-2</v>
      </c>
      <c r="P19" s="63" cm="1">
        <f t="array" ref="P19">hidro_slopeMinH(K19/1000,N19/1000,Parametros!$B$28,Parametros!$B$29)</f>
        <v>1.9854169821759426E-2</v>
      </c>
      <c r="Q19" s="63" cm="1">
        <f t="array" ref="Q19">hidro_slopeMinVELOCITY(J19/1000,N19/1000,Parametros!$B$26,Parametros!$B$29)</f>
        <v>3.2267830153127632E-3</v>
      </c>
      <c r="R19" s="63" cm="1">
        <f t="array" ref="R19">hidro_slopeMaxVELOCITY(K19/1000,N19/1000,Parametros!$B$27,Parametros!$B$29)</f>
        <v>0.10704068612316028</v>
      </c>
      <c r="S19" s="63">
        <f>MAX(P19,Q19,Parametros!$B$9)</f>
        <v>1.9854169821759426E-2</v>
      </c>
      <c r="T19" s="63">
        <f>MIN(R19,Parametros!$B$10)</f>
        <v>0.10704068612316028</v>
      </c>
      <c r="U19" s="113">
        <v>1.15E-2</v>
      </c>
      <c r="V19" s="121">
        <f t="shared" ref="V19" si="11">W18</f>
        <v>2.3881265000000189</v>
      </c>
      <c r="W19" s="122">
        <f t="shared" si="1"/>
        <v>2.2504734999999569</v>
      </c>
      <c r="X19" s="129">
        <f t="shared" si="2"/>
        <v>670.05187350000006</v>
      </c>
      <c r="Y19" s="130">
        <f t="shared" si="2"/>
        <v>669.93252649999999</v>
      </c>
      <c r="Z19" s="6"/>
      <c r="AA19" s="137" cm="1">
        <f t="array" ref="AA19">hidro_findTheta(J19/1000,N19/1000,U19,Parametros!$B$14)</f>
        <v>3.6995115096331173</v>
      </c>
      <c r="AB19" s="138" cm="1">
        <f t="array" ref="AB19">hidro_findTheta(K19/1000,N19/1000,U19,Parametros!$B$14)</f>
        <v>3.6995115096331173</v>
      </c>
      <c r="AC19" s="137">
        <f t="shared" si="5"/>
        <v>0.79909448608075329</v>
      </c>
      <c r="AD19" s="138">
        <f t="shared" si="6"/>
        <v>0.79909448608075329</v>
      </c>
      <c r="AE19" s="121">
        <f t="shared" si="7"/>
        <v>0.63767772588414651</v>
      </c>
      <c r="AF19" s="122">
        <f t="shared" si="7"/>
        <v>0.63767772588414651</v>
      </c>
      <c r="AG19" s="121">
        <f t="shared" si="3"/>
        <v>3.323403752916593</v>
      </c>
      <c r="AH19" s="122">
        <f t="shared" si="8"/>
        <v>3.323403752916593</v>
      </c>
      <c r="AI19" s="121">
        <f t="shared" si="9"/>
        <v>90.057948581300892</v>
      </c>
      <c r="AJ19" s="122">
        <f t="shared" si="9"/>
        <v>90.057948581300892</v>
      </c>
    </row>
    <row r="20" spans="1:36" s="56" customFormat="1" ht="15.6" x14ac:dyDescent="0.3">
      <c r="A20" s="69"/>
      <c r="B20" s="74"/>
      <c r="C20" s="75"/>
      <c r="D20" s="82"/>
      <c r="E20" s="83"/>
      <c r="F20" s="91"/>
      <c r="G20" s="87"/>
      <c r="H20" s="65"/>
      <c r="I20" s="94"/>
      <c r="J20" s="82"/>
      <c r="K20" s="83"/>
      <c r="L20" s="104"/>
      <c r="M20" s="64"/>
      <c r="N20" s="105"/>
      <c r="O20" s="114"/>
      <c r="P20" s="66"/>
      <c r="Q20" s="66"/>
      <c r="R20" s="66"/>
      <c r="S20" s="66"/>
      <c r="T20" s="66"/>
      <c r="U20" s="115"/>
      <c r="V20" s="123"/>
      <c r="W20" s="144"/>
      <c r="X20" s="131"/>
      <c r="Y20" s="132"/>
      <c r="Z20" s="55"/>
      <c r="AA20" s="139"/>
      <c r="AB20" s="140"/>
      <c r="AC20" s="139"/>
      <c r="AD20" s="140"/>
      <c r="AE20" s="123"/>
      <c r="AF20" s="124"/>
      <c r="AG20"/>
      <c r="AH20" s="124"/>
      <c r="AI20" s="123"/>
      <c r="AJ20" s="124"/>
    </row>
    <row r="21" spans="1:36" s="16" customFormat="1" ht="15.6" x14ac:dyDescent="0.3">
      <c r="A21" s="68" t="s">
        <v>118</v>
      </c>
      <c r="B21" s="72" t="str">
        <f>INDEX(Pipe[],MATCH(A21,Pipe[Nome],0),3)</f>
        <v>CV-39</v>
      </c>
      <c r="C21" s="73" t="str">
        <f>INDEX(Pipe[],MATCH(A21,Pipe[Nome],0),2)</f>
        <v>CV-36</v>
      </c>
      <c r="D21" s="80">
        <f>INDEX(CV[],MATCH(B21,CV[Nome],0),4)</f>
        <v>676.19100000000003</v>
      </c>
      <c r="E21" s="81">
        <f>INDEX(CV[],MATCH(C21,CV[Nome],0),4)</f>
        <v>675.48</v>
      </c>
      <c r="F21" s="90">
        <f>INDEX(Pipe[],MATCH(A21,Pipe[Nome],0),8)</f>
        <v>27.088000000000001</v>
      </c>
      <c r="G21" s="86">
        <v>15.187168993260407</v>
      </c>
      <c r="H21" s="61">
        <v>16.838941719992739</v>
      </c>
      <c r="I21" s="93">
        <f>Parametros!$B$19*F21/1000*N21/10</f>
        <v>3.3891351851851855E-3</v>
      </c>
      <c r="J21" s="97">
        <v>47.822239845194645</v>
      </c>
      <c r="K21" s="98">
        <v>47.822239845194645</v>
      </c>
      <c r="L21" s="102">
        <f>MAX(hidro_minimumDiameter(K21/1000,Parametros!$B$28,Parametros!$B$25,Parametros!$B$27,Parametros!$B$29),200)</f>
        <v>200</v>
      </c>
      <c r="M21" s="62">
        <f t="shared" ref="M21:M24" si="12">0.3145*(K21/1000/(SQRT(U21)))^(3/8)*1000</f>
        <v>194.09825545698374</v>
      </c>
      <c r="N21" s="103">
        <v>216.2</v>
      </c>
      <c r="O21" s="112">
        <f t="shared" ref="O21:O24" si="13">(D21-E21)/F21</f>
        <v>2.6247784997047132E-2</v>
      </c>
      <c r="P21" s="63" cm="1">
        <f t="array" ref="P21">hidro_slopeMinH(K21/1000,N21/1000,Parametros!$B$28,Parametros!$B$29)</f>
        <v>1.6946433101930329E-2</v>
      </c>
      <c r="Q21" s="63" cm="1">
        <f t="array" ref="Q21">hidro_slopeMinVELOCITY(J21/1000,N21/1000,Parametros!$B$26,Parametros!$B$29)</f>
        <v>8.2853595107273293E-3</v>
      </c>
      <c r="R21" s="63" cm="1">
        <f t="array" ref="R21">hidro_slopeMaxVELOCITY(K21/1000,N21/1000,Parametros!$B$27,Parametros!$B$29)</f>
        <v>0.40411680012688</v>
      </c>
      <c r="S21" s="63">
        <f>MAX(P21,Q21,Parametros!$B$9)</f>
        <v>1.6946433101930329E-2</v>
      </c>
      <c r="T21" s="63">
        <f>MIN(R21,Parametros!$B$10)</f>
        <v>0.15</v>
      </c>
      <c r="U21" s="113">
        <v>0.03</v>
      </c>
      <c r="V21" s="123">
        <v>1.19</v>
      </c>
      <c r="W21" s="122">
        <f t="shared" ref="W21:W24" si="14">(E21-D21)+V21+F21*U21</f>
        <v>1.2916399999999872</v>
      </c>
      <c r="X21" s="129">
        <f t="shared" ref="X21:Y24" si="15">D21-V21</f>
        <v>675.00099999999998</v>
      </c>
      <c r="Y21" s="130">
        <f t="shared" si="15"/>
        <v>674.18835999999999</v>
      </c>
      <c r="Z21" s="6"/>
      <c r="AA21" s="137" cm="1">
        <f t="array" ref="AA21">hidro_findTheta(J21/1000,N21/1000,U21,Parametros!$B$14)</f>
        <v>2.9519787691228321</v>
      </c>
      <c r="AB21" s="138" cm="1">
        <f t="array" ref="AB21">hidro_findTheta(K21/1000,N21/1000,U21,Parametros!$B$14)</f>
        <v>2.9519787691228321</v>
      </c>
      <c r="AC21" s="137">
        <f t="shared" ref="AC21:AC24" si="16">(N21/1000)*AA21/2</f>
        <v>0.31910890494217808</v>
      </c>
      <c r="AD21" s="138">
        <f t="shared" ref="AD21:AD24" si="17">(N21/1000)*AB21/2</f>
        <v>0.31910890494217808</v>
      </c>
      <c r="AE21" s="121">
        <f t="shared" ref="AE21:AF24" si="18">(1-COS(AA21/2))/2</f>
        <v>0.45266751019015983</v>
      </c>
      <c r="AF21" s="122">
        <f t="shared" si="18"/>
        <v>0.45266751019015983</v>
      </c>
      <c r="AG21" s="121">
        <f t="shared" ref="AG21:AG24" si="19">(J21/1000)/(((N21/1000)^2/8)*(AA21-SIN(AA21)))</f>
        <v>2.9617554791747218</v>
      </c>
      <c r="AH21" s="122">
        <f t="shared" ref="AH21:AH24" si="20">(K21/1000)/(((N21/1000)^2/8)*(AB21-SIN(AB21)))</f>
        <v>2.9617554791747218</v>
      </c>
      <c r="AI21" s="121">
        <f t="shared" ref="AI21:AJ24" si="21">9800*AC21*$U21</f>
        <v>93.818018053000358</v>
      </c>
      <c r="AJ21" s="122">
        <f t="shared" si="21"/>
        <v>93.818018053000358</v>
      </c>
    </row>
    <row r="22" spans="1:36" s="16" customFormat="1" ht="15.6" x14ac:dyDescent="0.3">
      <c r="A22" s="68" t="s">
        <v>117</v>
      </c>
      <c r="B22" s="72" t="str">
        <f>INDEX(Pipe[],MATCH(A22,Pipe[Nome],0),3)</f>
        <v>CV-36</v>
      </c>
      <c r="C22" s="73" t="str">
        <f>INDEX(Pipe[],MATCH(A22,Pipe[Nome],0),2)</f>
        <v>CV-34</v>
      </c>
      <c r="D22" s="80">
        <f>INDEX(CV[],MATCH(B22,CV[Nome],0),4)</f>
        <v>675.48</v>
      </c>
      <c r="E22" s="81">
        <f>INDEX(CV[],MATCH(C22,CV[Nome],0),4)</f>
        <v>673.55499999999995</v>
      </c>
      <c r="F22" s="90">
        <f>INDEX(Pipe[],MATCH(A22,Pipe[Nome],0),8)</f>
        <v>28.149000000000001</v>
      </c>
      <c r="G22" s="86">
        <v>15.274078710314798</v>
      </c>
      <c r="H22" s="61">
        <v>16.981202676470918</v>
      </c>
      <c r="I22" s="93">
        <f>Parametros!$B$19*F22/1000*N22/10</f>
        <v>3.5218829861111108E-3</v>
      </c>
      <c r="J22" s="97">
        <v>74.725713329176784</v>
      </c>
      <c r="K22" s="98">
        <v>74.725713329176784</v>
      </c>
      <c r="L22" s="102">
        <f>MAX(hidro_minimumDiameter(K22/1000,Parametros!$B$28,Parametros!$B$25,Parametros!$B$27,Parametros!$B$29),200)</f>
        <v>200</v>
      </c>
      <c r="M22" s="62">
        <f t="shared" si="12"/>
        <v>198.49550271923019</v>
      </c>
      <c r="N22" s="103">
        <v>216.2</v>
      </c>
      <c r="O22" s="112">
        <f t="shared" si="13"/>
        <v>6.8386088315750757E-2</v>
      </c>
      <c r="P22" s="63" cm="1">
        <f t="array" ref="P22">hidro_slopeMinH(K22/1000,N22/1000,Parametros!$B$28,Parametros!$B$29)</f>
        <v>4.1376963283789925E-2</v>
      </c>
      <c r="Q22" s="63" cm="1">
        <f t="array" ref="Q22">hidro_slopeMinVELOCITY(J22/1000,N22/1000,Parametros!$B$26,Parametros!$B$29)</f>
        <v>8.6319173012516567E-3</v>
      </c>
      <c r="R22" s="63" cm="1">
        <f t="array" ref="R22">hidro_slopeMaxVELOCITY(K22/1000,N22/1000,Parametros!$B$27,Parametros!$B$29)</f>
        <v>0.28807106934389298</v>
      </c>
      <c r="S22" s="63">
        <f>MAX(P22,Q22,Parametros!$B$9)</f>
        <v>4.1376963283789925E-2</v>
      </c>
      <c r="T22" s="63">
        <f>MIN(R22,Parametros!$B$10)</f>
        <v>0.15</v>
      </c>
      <c r="U22" s="113">
        <v>6.5000000000000002E-2</v>
      </c>
      <c r="V22" s="121">
        <f t="shared" ref="V22:V23" si="22">W21</f>
        <v>1.2916399999999872</v>
      </c>
      <c r="W22" s="122">
        <f t="shared" si="14"/>
        <v>1.1963249999999193</v>
      </c>
      <c r="X22" s="129">
        <f t="shared" si="15"/>
        <v>674.18835999999999</v>
      </c>
      <c r="Y22" s="130">
        <f t="shared" si="15"/>
        <v>672.35867500000006</v>
      </c>
      <c r="Z22" s="6"/>
      <c r="AA22" s="137" cm="1">
        <f t="array" ref="AA22">hidro_findTheta(J22/1000,N22/1000,U22,Parametros!$B$14)</f>
        <v>3.0149428677408281</v>
      </c>
      <c r="AB22" s="138" cm="1">
        <f t="array" ref="AB22">hidro_findTheta(K22/1000,N22/1000,U22,Parametros!$B$14)</f>
        <v>3.0149428677408281</v>
      </c>
      <c r="AC22" s="137">
        <f t="shared" si="16"/>
        <v>0.3259153240027835</v>
      </c>
      <c r="AD22" s="138">
        <f t="shared" si="17"/>
        <v>0.3259153240027835</v>
      </c>
      <c r="AE22" s="121">
        <f t="shared" si="18"/>
        <v>0.46835871058564049</v>
      </c>
      <c r="AF22" s="122">
        <f t="shared" si="18"/>
        <v>0.46835871058564049</v>
      </c>
      <c r="AG22" s="121">
        <f t="shared" si="19"/>
        <v>4.4274794161476692</v>
      </c>
      <c r="AH22" s="122">
        <f t="shared" si="20"/>
        <v>4.4274794161476692</v>
      </c>
      <c r="AI22" s="121">
        <f t="shared" si="21"/>
        <v>207.60806138977307</v>
      </c>
      <c r="AJ22" s="122">
        <f t="shared" si="21"/>
        <v>207.60806138977307</v>
      </c>
    </row>
    <row r="23" spans="1:36" s="16" customFormat="1" ht="15.6" x14ac:dyDescent="0.3">
      <c r="A23" s="68" t="s">
        <v>116</v>
      </c>
      <c r="B23" s="72" t="str">
        <f>INDEX(Pipe[],MATCH(A23,Pipe[Nome],0),3)</f>
        <v>CV-34</v>
      </c>
      <c r="C23" s="73" t="str">
        <f>INDEX(Pipe[],MATCH(A23,Pipe[Nome],0),2)</f>
        <v>CV-32</v>
      </c>
      <c r="D23" s="80">
        <f>INDEX(CV[],MATCH(B23,CV[Nome],0),4)</f>
        <v>673.55499999999995</v>
      </c>
      <c r="E23" s="81">
        <f>INDEX(CV[],MATCH(C23,CV[Nome],0),4)</f>
        <v>672.79700000000003</v>
      </c>
      <c r="F23" s="90">
        <f>INDEX(Pipe[],MATCH(A23,Pipe[Nome],0),8)</f>
        <v>8.6679999999999993</v>
      </c>
      <c r="G23" s="86">
        <v>15.321090403074344</v>
      </c>
      <c r="H23" s="61">
        <v>17.058657550913544</v>
      </c>
      <c r="I23" s="93">
        <f>Parametros!$B$19*F23/1000*N23/10</f>
        <v>1.0845032407407406E-3</v>
      </c>
      <c r="J23" s="97">
        <v>90.955410313118477</v>
      </c>
      <c r="K23" s="98">
        <v>90.955410313118477</v>
      </c>
      <c r="L23" s="102">
        <f>MAX(hidro_minimumDiameter(K23/1000,Parametros!$B$28,Parametros!$B$25,Parametros!$B$27,Parametros!$B$29),200)</f>
        <v>200</v>
      </c>
      <c r="M23" s="62">
        <f t="shared" si="12"/>
        <v>211.99508087441055</v>
      </c>
      <c r="N23" s="103">
        <v>216.2</v>
      </c>
      <c r="O23" s="112">
        <f t="shared" si="13"/>
        <v>8.7448084910005136E-2</v>
      </c>
      <c r="P23" s="63" cm="1">
        <f t="array" ref="P23">hidro_slopeMinH(K23/1000,N23/1000,Parametros!$B$28,Parametros!$B$29)</f>
        <v>6.1302127880856969E-2</v>
      </c>
      <c r="Q23" s="63" cm="1">
        <f t="array" ref="Q23">hidro_slopeMinVELOCITY(J23/1000,N23/1000,Parametros!$B$26,Parametros!$B$29)</f>
        <v>7.6272211082213034E-3</v>
      </c>
      <c r="R23" s="63" cm="1">
        <f t="array" ref="R23">hidro_slopeMaxVELOCITY(K23/1000,N23/1000,Parametros!$B$27,Parametros!$B$29)</f>
        <v>0.25117437187892788</v>
      </c>
      <c r="S23" s="63">
        <f>MAX(P23,Q23,Parametros!$B$9)</f>
        <v>6.1302127880856969E-2</v>
      </c>
      <c r="T23" s="63">
        <f>MIN(R23,Parametros!$B$10)</f>
        <v>0.15</v>
      </c>
      <c r="U23" s="113">
        <v>6.7799999999999999E-2</v>
      </c>
      <c r="V23" s="121">
        <f t="shared" si="22"/>
        <v>1.1963249999999193</v>
      </c>
      <c r="W23" s="122">
        <f t="shared" si="14"/>
        <v>1.0260153999999946</v>
      </c>
      <c r="X23" s="129">
        <f t="shared" si="15"/>
        <v>672.35867500000006</v>
      </c>
      <c r="Y23" s="130">
        <f t="shared" si="15"/>
        <v>671.77098460000002</v>
      </c>
      <c r="Z23" s="6"/>
      <c r="AA23" s="137" cm="1">
        <f t="array" ref="AA23">hidro_findTheta(J23/1000,N23/1000,U23,Parametros!$B$14)</f>
        <v>3.217845142760015</v>
      </c>
      <c r="AB23" s="138" cm="1">
        <f t="array" ref="AB23">hidro_findTheta(K23/1000,N23/1000,U23,Parametros!$B$14)</f>
        <v>3.217845142760015</v>
      </c>
      <c r="AC23" s="137">
        <f t="shared" si="16"/>
        <v>0.3478490599323576</v>
      </c>
      <c r="AD23" s="138">
        <f t="shared" si="17"/>
        <v>0.3478490599323576</v>
      </c>
      <c r="AE23" s="121">
        <f t="shared" si="18"/>
        <v>0.51905850423567335</v>
      </c>
      <c r="AF23" s="122">
        <f t="shared" si="18"/>
        <v>0.51905850423567335</v>
      </c>
      <c r="AG23" s="121">
        <f t="shared" si="19"/>
        <v>4.7258552768656177</v>
      </c>
      <c r="AH23" s="122">
        <f t="shared" si="20"/>
        <v>4.7258552768656177</v>
      </c>
      <c r="AI23" s="121">
        <f t="shared" si="21"/>
        <v>231.12482938145567</v>
      </c>
      <c r="AJ23" s="122">
        <f t="shared" si="21"/>
        <v>231.12482938145567</v>
      </c>
    </row>
    <row r="24" spans="1:36" s="16" customFormat="1" ht="15.6" x14ac:dyDescent="0.3">
      <c r="A24" s="68" t="s">
        <v>143</v>
      </c>
      <c r="B24" s="72" t="str">
        <f>INDEX(Pipe[],MATCH(A24,Pipe[Nome],0),3)</f>
        <v>CV-32</v>
      </c>
      <c r="C24" s="73" t="str">
        <f>INDEX(Pipe[],MATCH(A24,Pipe[Nome],0),2)</f>
        <v>CV-30</v>
      </c>
      <c r="D24" s="80">
        <f>INDEX(CV[],MATCH(B24,CV[Nome],0),4)</f>
        <v>672.79700000000003</v>
      </c>
      <c r="E24" s="81">
        <f>INDEX(CV[],MATCH(C24,CV[Nome],0),4)</f>
        <v>672.18299999999999</v>
      </c>
      <c r="F24" s="90">
        <f>INDEX(Pipe[],MATCH(A24,Pipe[Nome],0),8)</f>
        <v>18.984999999999999</v>
      </c>
      <c r="G24" s="86">
        <v>15.436217577810739</v>
      </c>
      <c r="H24" s="61">
        <v>17.24850889887205</v>
      </c>
      <c r="I24" s="93">
        <f>Parametros!$B$19*F24/1000*N24/10</f>
        <v>2.3753223379629628E-3</v>
      </c>
      <c r="J24" s="97">
        <v>114.87041886797505</v>
      </c>
      <c r="K24" s="98">
        <v>114.87041886797505</v>
      </c>
      <c r="L24" s="102">
        <f>MAX(hidro_minimumDiameter(K24/1000,Parametros!$B$28,Parametros!$B$25,Parametros!$B$27,Parametros!$B$29),200)</f>
        <v>200</v>
      </c>
      <c r="M24" s="62">
        <f t="shared" si="12"/>
        <v>255.45386514976886</v>
      </c>
      <c r="N24" s="103">
        <v>216.2</v>
      </c>
      <c r="O24" s="112">
        <f t="shared" si="13"/>
        <v>3.2341322096393614E-2</v>
      </c>
      <c r="P24" s="63" cm="1">
        <f t="array" ref="P24">hidro_slopeMinH(K24/1000,N24/1000,Parametros!$B$28,Parametros!$B$29)</f>
        <v>9.7776589417785095E-2</v>
      </c>
      <c r="Q24" s="63" cm="1">
        <f t="array" ref="Q24">hidro_slopeMinVELOCITY(J24/1000,N24/1000,Parametros!$B$26,Parametros!$B$29)</f>
        <v>8.1253882820344434E-3</v>
      </c>
      <c r="R24" s="63" cm="1">
        <f t="array" ref="R24">hidro_slopeMaxVELOCITY(K24/1000,N24/1000,Parametros!$B$27,Parametros!$B$29)</f>
        <v>0.21721515364150945</v>
      </c>
      <c r="S24" s="63">
        <f>MAX(P24,Q24,Parametros!$B$9)</f>
        <v>9.7776589417785095E-2</v>
      </c>
      <c r="T24" s="63">
        <f>MIN(R24,Parametros!$B$10)</f>
        <v>0.15</v>
      </c>
      <c r="U24" s="113">
        <v>0.04</v>
      </c>
      <c r="V24" s="121">
        <v>1.99</v>
      </c>
      <c r="W24" s="122">
        <f t="shared" si="14"/>
        <v>2.1353999999999673</v>
      </c>
      <c r="X24" s="129">
        <f t="shared" si="15"/>
        <v>670.80700000000002</v>
      </c>
      <c r="Y24" s="130">
        <f t="shared" si="15"/>
        <v>670.04759999999999</v>
      </c>
      <c r="Z24" s="6"/>
      <c r="AA24" s="137" cm="1">
        <f t="array" ref="AA24">hidro_findTheta(J24/1000,N24/1000,U24,Parametros!$B$14)</f>
        <v>4.0753076007499098</v>
      </c>
      <c r="AB24" s="138" cm="1">
        <f t="array" ref="AB24">hidro_findTheta(K24/1000,N24/1000,U24,Parametros!$B$14)</f>
        <v>4.0753076007499098</v>
      </c>
      <c r="AC24" s="137">
        <f t="shared" si="16"/>
        <v>0.44054075164106521</v>
      </c>
      <c r="AD24" s="138">
        <f t="shared" si="17"/>
        <v>0.44054075164106521</v>
      </c>
      <c r="AE24" s="121">
        <f t="shared" si="18"/>
        <v>0.72504113842928275</v>
      </c>
      <c r="AF24" s="122">
        <f t="shared" si="18"/>
        <v>0.72504113842928275</v>
      </c>
      <c r="AG24" s="121">
        <f t="shared" si="19"/>
        <v>4.0294268145148102</v>
      </c>
      <c r="AH24" s="122">
        <f t="shared" si="20"/>
        <v>4.0294268145148102</v>
      </c>
      <c r="AI24" s="121">
        <f t="shared" si="21"/>
        <v>172.69197464329756</v>
      </c>
      <c r="AJ24" s="122">
        <f t="shared" si="21"/>
        <v>172.69197464329756</v>
      </c>
    </row>
    <row r="25" spans="1:36" s="56" customFormat="1" ht="15.6" x14ac:dyDescent="0.3">
      <c r="A25" s="69"/>
      <c r="B25" s="74"/>
      <c r="C25" s="75"/>
      <c r="D25" s="82"/>
      <c r="E25" s="83"/>
      <c r="F25" s="91"/>
      <c r="G25" s="87"/>
      <c r="H25" s="65"/>
      <c r="I25" s="94"/>
      <c r="J25" s="82"/>
      <c r="K25" s="83"/>
      <c r="L25" s="104"/>
      <c r="M25" s="64"/>
      <c r="N25" s="105"/>
      <c r="O25" s="114"/>
      <c r="P25" s="66"/>
      <c r="Q25" s="66"/>
      <c r="R25" s="66"/>
      <c r="S25" s="66"/>
      <c r="T25" s="66"/>
      <c r="U25" s="115"/>
      <c r="V25" s="123"/>
      <c r="W25" s="144"/>
      <c r="X25" s="131"/>
      <c r="Y25" s="132"/>
      <c r="Z25" s="55"/>
      <c r="AA25" s="139"/>
      <c r="AB25" s="140"/>
      <c r="AC25" s="139"/>
      <c r="AD25" s="140"/>
      <c r="AE25" s="123"/>
      <c r="AF25" s="124"/>
      <c r="AG25"/>
      <c r="AH25" s="124"/>
      <c r="AI25" s="123"/>
      <c r="AJ25" s="124"/>
    </row>
    <row r="26" spans="1:36" ht="15.6" x14ac:dyDescent="0.3">
      <c r="A26" s="68" t="s">
        <v>108</v>
      </c>
      <c r="B26" s="72" t="str">
        <f>INDEX(Pipe[],MATCH(A26,Pipe[Nome],0),2)</f>
        <v>CV-40</v>
      </c>
      <c r="C26" s="73" t="str">
        <f>INDEX(Pipe[],MATCH(A26,Pipe[Nome],0),3)</f>
        <v>CV-41</v>
      </c>
      <c r="D26" s="80">
        <f>INDEX(CV[],MATCH(B26,CV[Nome],0),4)</f>
        <v>676.23900000000003</v>
      </c>
      <c r="E26" s="81">
        <f>INDEX(CV[],MATCH(C26,CV[Nome],0),4)</f>
        <v>674.11199999999997</v>
      </c>
      <c r="F26" s="90">
        <f>INDEX(Pipe[],MATCH(A26,Pipe[Nome],0),8)</f>
        <v>47.625</v>
      </c>
      <c r="G26" s="86">
        <v>0.13935492228702961</v>
      </c>
      <c r="H26" s="61">
        <v>0.22791690536508782</v>
      </c>
      <c r="I26" s="93">
        <f>Parametros!$B$19*F26/1000*N26/10</f>
        <v>5.9586371527777775E-3</v>
      </c>
      <c r="J26" s="97">
        <v>32.004951669500002</v>
      </c>
      <c r="K26" s="98">
        <v>32.004951669500002</v>
      </c>
      <c r="L26" s="102">
        <f>MAX(hidro_minimumDiameter(K26/1000,Parametros!$B$28,Parametros!$B$25,Parametros!$B$27,Parametros!$B$29),200)</f>
        <v>200</v>
      </c>
      <c r="M26" s="62">
        <f t="shared" ref="M26:M33" si="23">0.3145*(K26/1000/(SQRT(U26)))^(3/8)*1000</f>
        <v>154.93317829872598</v>
      </c>
      <c r="N26" s="103">
        <v>216.2</v>
      </c>
      <c r="O26" s="112">
        <f t="shared" ref="O26:O33" si="24">(D26-E26)/F26</f>
        <v>4.4661417322836038E-2</v>
      </c>
      <c r="P26" s="63" cm="1">
        <f t="array" ref="P26">hidro_slopeMinH(K26/1000,N26/1000,Parametros!$B$28,Parametros!$B$29)</f>
        <v>7.590193128248315E-3</v>
      </c>
      <c r="Q26" s="63" cm="1">
        <f t="array" ref="Q26">hidro_slopeMinVELOCITY(J26/1000,N26/1000,Parametros!$B$26,Parametros!$B$29)</f>
        <v>6.5670611621534624E-3</v>
      </c>
      <c r="R26" s="63" cm="1">
        <f t="array" ref="R26">hidro_slopeMaxVELOCITY(K26/1000,N26/1000,Parametros!$B$27,Parametros!$B$29)</f>
        <v>0.55832333522121225</v>
      </c>
      <c r="S26" s="63">
        <f>MAX(P26,Q26,Parametros!$B$9)</f>
        <v>7.590193128248315E-3</v>
      </c>
      <c r="T26" s="63">
        <f>MIN(R26,Parametros!$B$10)</f>
        <v>0.15</v>
      </c>
      <c r="U26" s="113">
        <v>4.4699999999999997E-2</v>
      </c>
      <c r="V26" s="123">
        <v>1.2</v>
      </c>
      <c r="W26" s="122">
        <f t="shared" ref="W26:W33" si="25">(E26-D26)+V26+F26*U26</f>
        <v>1.2018374999999335</v>
      </c>
      <c r="X26" s="129">
        <f t="shared" ref="X26:Y33" si="26">D26-V26</f>
        <v>675.03899999999999</v>
      </c>
      <c r="Y26" s="130">
        <f t="shared" si="26"/>
        <v>672.91016250000007</v>
      </c>
      <c r="Z26" s="6"/>
      <c r="AA26" s="137" cm="1">
        <f t="array" ref="AA26">hidro_findTheta(J26/1000,N26/1000,U26,Parametros!$B$14)</f>
        <v>2.4338471086769831</v>
      </c>
      <c r="AB26" s="138" cm="1">
        <f t="array" ref="AB26">hidro_findTheta(K26/1000,N26/1000,U26,Parametros!$B$14)</f>
        <v>2.4338471086769831</v>
      </c>
      <c r="AC26" s="137">
        <f t="shared" ref="AC26:AC33" si="27">(N26/1000)*AA26/2</f>
        <v>0.26309887244798186</v>
      </c>
      <c r="AD26" s="138">
        <f t="shared" ref="AD26:AD33" si="28">(N26/1000)*AB26/2</f>
        <v>0.26309887244798186</v>
      </c>
      <c r="AE26" s="121">
        <f t="shared" ref="AE26:AF33" si="29">(1-COS(AA26/2))/2</f>
        <v>0.32673339816007974</v>
      </c>
      <c r="AF26" s="122">
        <f t="shared" si="29"/>
        <v>0.32673339816007974</v>
      </c>
      <c r="AG26" s="121">
        <f t="shared" ref="AG26:AG33" si="30">(J26/1000)/(((N26/1000)^2/8)*(AA26-SIN(AA26)))</f>
        <v>3.0709161669035732</v>
      </c>
      <c r="AH26" s="122">
        <f t="shared" ref="AH26:AH33" si="31">(K26/1000)/(((N26/1000)^2/8)*(AB26-SIN(AB26)))</f>
        <v>3.0709161669035732</v>
      </c>
      <c r="AI26" s="121">
        <f t="shared" ref="AI26:AJ33" si="32">9800*AC26*$U26</f>
        <v>115.25309206456292</v>
      </c>
      <c r="AJ26" s="122">
        <f t="shared" si="32"/>
        <v>115.25309206456292</v>
      </c>
    </row>
    <row r="27" spans="1:36" ht="15.6" x14ac:dyDescent="0.3">
      <c r="A27" s="68" t="s">
        <v>109</v>
      </c>
      <c r="B27" s="72" t="str">
        <f>INDEX(Pipe[],MATCH(A27,Pipe[Nome],0),2)</f>
        <v>CV-41</v>
      </c>
      <c r="C27" s="73" t="str">
        <f>INDEX(Pipe[],MATCH(A27,Pipe[Nome],0),3)</f>
        <v>CV-43</v>
      </c>
      <c r="D27" s="80">
        <f>INDEX(CV[],MATCH(B27,CV[Nome],0),4)</f>
        <v>674.11199999999997</v>
      </c>
      <c r="E27" s="81">
        <f>INDEX(CV[],MATCH(C27,CV[Nome],0),4)</f>
        <v>673.14</v>
      </c>
      <c r="F27" s="90">
        <f>INDEX(Pipe[],MATCH(A27,Pipe[Nome],0),8)</f>
        <v>17.815000000000001</v>
      </c>
      <c r="G27" s="86">
        <v>0.17487753596063887</v>
      </c>
      <c r="H27" s="61">
        <v>0.2855800148082116</v>
      </c>
      <c r="I27" s="93">
        <f>Parametros!$B$19*F27/1000*N27/10</f>
        <v>2.2289369212962961E-3</v>
      </c>
      <c r="J27" s="97">
        <v>52.287798330424785</v>
      </c>
      <c r="K27" s="98">
        <v>52.287798330424785</v>
      </c>
      <c r="L27" s="102">
        <f>MAX(hidro_minimumDiameter(K27/1000,Parametros!$B$28,Parametros!$B$25,Parametros!$B$27,Parametros!$B$29),200)</f>
        <v>200</v>
      </c>
      <c r="M27" s="62">
        <f t="shared" si="23"/>
        <v>179.38955914574768</v>
      </c>
      <c r="N27" s="103">
        <v>216.2</v>
      </c>
      <c r="O27" s="112">
        <f t="shared" si="24"/>
        <v>5.4560763401626716E-2</v>
      </c>
      <c r="P27" s="63" cm="1">
        <f t="array" ref="P27">hidro_slopeMinH(K27/1000,N27/1000,Parametros!$B$28,Parametros!$B$29)</f>
        <v>2.0259055116190916E-2</v>
      </c>
      <c r="Q27" s="63" cm="1">
        <f t="array" ref="Q27">hidro_slopeMinVELOCITY(J27/1000,N27/1000,Parametros!$B$26,Parametros!$B$29)</f>
        <v>7.8107291878981621E-3</v>
      </c>
      <c r="R27" s="63" cm="1">
        <f t="array" ref="R27">hidro_slopeMaxVELOCITY(K27/1000,N27/1000,Parametros!$B$27,Parametros!$B$29)</f>
        <v>0.37684507013146562</v>
      </c>
      <c r="S27" s="63">
        <f>MAX(P27,Q27,Parametros!$B$9)</f>
        <v>2.0259055116190916E-2</v>
      </c>
      <c r="T27" s="63">
        <f>MIN(R27,Parametros!$B$10)</f>
        <v>0.15</v>
      </c>
      <c r="U27" s="113">
        <v>5.4600000000000003E-2</v>
      </c>
      <c r="V27" s="121">
        <f t="shared" ref="V27:V33" si="33">W26</f>
        <v>1.2018374999999335</v>
      </c>
      <c r="W27" s="122">
        <f t="shared" si="25"/>
        <v>1.2025364999999537</v>
      </c>
      <c r="X27" s="129">
        <f t="shared" si="26"/>
        <v>672.91016250000007</v>
      </c>
      <c r="Y27" s="130">
        <f t="shared" si="26"/>
        <v>671.93746350000004</v>
      </c>
      <c r="Z27" s="6"/>
      <c r="AA27" s="137" cm="1">
        <f t="array" ref="AA27">hidro_findTheta(J27/1000,N27/1000,U27,Parametros!$B$14)</f>
        <v>2.7498070084883417</v>
      </c>
      <c r="AB27" s="138" cm="1">
        <f t="array" ref="AB27">hidro_findTheta(K27/1000,N27/1000,U27,Parametros!$B$14)</f>
        <v>2.7498070084883417</v>
      </c>
      <c r="AC27" s="137">
        <f t="shared" si="27"/>
        <v>0.29725413761758973</v>
      </c>
      <c r="AD27" s="138">
        <f t="shared" si="28"/>
        <v>0.29725413761758973</v>
      </c>
      <c r="AE27" s="121">
        <f t="shared" si="29"/>
        <v>0.4026788204499967</v>
      </c>
      <c r="AF27" s="122">
        <f t="shared" si="29"/>
        <v>0.4026788204499967</v>
      </c>
      <c r="AG27" s="121">
        <f t="shared" si="30"/>
        <v>3.779228925116394</v>
      </c>
      <c r="AH27" s="122">
        <f t="shared" si="31"/>
        <v>3.779228925116394</v>
      </c>
      <c r="AI27" s="121">
        <f t="shared" si="32"/>
        <v>159.05474395641991</v>
      </c>
      <c r="AJ27" s="122">
        <f t="shared" si="32"/>
        <v>159.05474395641991</v>
      </c>
    </row>
    <row r="28" spans="1:36" ht="15.6" x14ac:dyDescent="0.3">
      <c r="A28" s="68" t="s">
        <v>110</v>
      </c>
      <c r="B28" s="72" t="str">
        <f>INDEX(Pipe[],MATCH(A28,Pipe[Nome],0),2)</f>
        <v>CV-43</v>
      </c>
      <c r="C28" s="73" t="str">
        <f>INDEX(Pipe[],MATCH(A28,Pipe[Nome],0),3)</f>
        <v>CV-44</v>
      </c>
      <c r="D28" s="80">
        <f>INDEX(CV[],MATCH(B28,CV[Nome],0),4)</f>
        <v>673.14</v>
      </c>
      <c r="E28" s="81">
        <f>INDEX(CV[],MATCH(C28,CV[Nome],0),4)</f>
        <v>672.38800000000003</v>
      </c>
      <c r="F28" s="90">
        <f>INDEX(Pipe[],MATCH(A28,Pipe[Nome],0),8)</f>
        <v>13.244999999999999</v>
      </c>
      <c r="G28" s="86">
        <v>15.260062253015034</v>
      </c>
      <c r="H28" s="61">
        <v>16.989315971286391</v>
      </c>
      <c r="I28" s="93">
        <f>Parametros!$B$19*F28/1000*N28/10</f>
        <v>1.657157986111111E-3</v>
      </c>
      <c r="J28" s="97">
        <v>72.553308122071769</v>
      </c>
      <c r="K28" s="98">
        <v>72.553308122071769</v>
      </c>
      <c r="L28" s="102">
        <f>MAX(hidro_minimumDiameter(K28/1000,Parametros!$B$28,Parametros!$B$25,Parametros!$B$27,Parametros!$B$29),200)</f>
        <v>200</v>
      </c>
      <c r="M28" s="62">
        <f t="shared" si="23"/>
        <v>201.33848391529074</v>
      </c>
      <c r="N28" s="103">
        <v>216.2</v>
      </c>
      <c r="O28" s="112">
        <f t="shared" si="24"/>
        <v>5.6776141940351285E-2</v>
      </c>
      <c r="P28" s="63" cm="1">
        <f t="array" ref="P28">hidro_slopeMinH(K28/1000,N28/1000,Parametros!$B$28,Parametros!$B$29)</f>
        <v>3.9006134452033089E-2</v>
      </c>
      <c r="Q28" s="63" cm="1">
        <f t="array" ref="Q28">hidro_slopeMinVELOCITY(J28/1000,N28/1000,Parametros!$B$26,Parametros!$B$29)</f>
        <v>8.7725092155028252E-3</v>
      </c>
      <c r="R28" s="63" cm="1">
        <f t="array" ref="R28">hidro_slopeMaxVELOCITY(K28/1000,N28/1000,Parametros!$B$27,Parametros!$B$29)</f>
        <v>0.2942943773804455</v>
      </c>
      <c r="S28" s="63">
        <f>MAX(P28,Q28,Parametros!$B$9)</f>
        <v>3.9006134452033089E-2</v>
      </c>
      <c r="T28" s="63">
        <f>MIN(R28,Parametros!$B$10)</f>
        <v>0.15</v>
      </c>
      <c r="U28" s="113">
        <v>5.6800000000000003E-2</v>
      </c>
      <c r="V28" s="121">
        <f t="shared" si="33"/>
        <v>1.2025364999999537</v>
      </c>
      <c r="W28" s="122">
        <f t="shared" si="25"/>
        <v>1.202852500000001</v>
      </c>
      <c r="X28" s="129">
        <f t="shared" si="26"/>
        <v>671.93746350000004</v>
      </c>
      <c r="Y28" s="130">
        <f t="shared" si="26"/>
        <v>671.18514750000008</v>
      </c>
      <c r="Z28" s="6"/>
      <c r="AA28" s="137" cm="1">
        <f t="array" ref="AA28">hidro_findTheta(J28/1000,N28/1000,U28,Parametros!$B$14)</f>
        <v>3.0563929644950942</v>
      </c>
      <c r="AB28" s="138" cm="1">
        <f t="array" ref="AB28">hidro_findTheta(K28/1000,N28/1000,U28,Parametros!$B$14)</f>
        <v>3.0563929644950942</v>
      </c>
      <c r="AC28" s="137">
        <f t="shared" si="27"/>
        <v>0.33039607946191962</v>
      </c>
      <c r="AD28" s="138">
        <f t="shared" si="28"/>
        <v>0.33039607946191962</v>
      </c>
      <c r="AE28" s="121">
        <f t="shared" si="29"/>
        <v>0.47870651946926379</v>
      </c>
      <c r="AF28" s="122">
        <f t="shared" si="29"/>
        <v>0.47870651946926379</v>
      </c>
      <c r="AG28" s="121">
        <f t="shared" si="30"/>
        <v>4.1791683148479759</v>
      </c>
      <c r="AH28" s="122">
        <f t="shared" si="31"/>
        <v>4.1791683148479759</v>
      </c>
      <c r="AI28" s="121">
        <f t="shared" si="32"/>
        <v>183.91167367168293</v>
      </c>
      <c r="AJ28" s="122">
        <f t="shared" si="32"/>
        <v>183.91167367168293</v>
      </c>
    </row>
    <row r="29" spans="1:36" ht="15.6" x14ac:dyDescent="0.3">
      <c r="A29" s="68" t="s">
        <v>111</v>
      </c>
      <c r="B29" s="72" t="str">
        <f>INDEX(Pipe[],MATCH(A29,Pipe[Nome],0),2)</f>
        <v>CV-44</v>
      </c>
      <c r="C29" s="73" t="str">
        <f>INDEX(Pipe[],MATCH(A29,Pipe[Nome],0),3)</f>
        <v>CV-46</v>
      </c>
      <c r="D29" s="80">
        <f>INDEX(CV[],MATCH(B29,CV[Nome],0),4)</f>
        <v>672.38800000000003</v>
      </c>
      <c r="E29" s="81">
        <f>INDEX(CV[],MATCH(C29,CV[Nome],0),4)</f>
        <v>671.31500000000005</v>
      </c>
      <c r="F29" s="90">
        <f>INDEX(Pipe[],MATCH(A29,Pipe[Nome],0),8)</f>
        <v>23.826000000000001</v>
      </c>
      <c r="G29" s="86">
        <v>15.262819891903924</v>
      </c>
      <c r="H29" s="61">
        <v>16.992073610175279</v>
      </c>
      <c r="I29" s="93">
        <f>Parametros!$B$19*F29/1000*N29/10</f>
        <v>2.9810076388888883E-3</v>
      </c>
      <c r="J29" s="97">
        <v>82.797451062471566</v>
      </c>
      <c r="K29" s="98">
        <v>82.797451062471566</v>
      </c>
      <c r="L29" s="102">
        <f>MAX(hidro_minimumDiameter(K29/1000,Parametros!$B$28,Parametros!$B$25,Parametros!$B$27,Parametros!$B$29),200)</f>
        <v>200</v>
      </c>
      <c r="M29" s="62">
        <f t="shared" si="23"/>
        <v>216.68065345732629</v>
      </c>
      <c r="N29" s="103">
        <v>216.2</v>
      </c>
      <c r="O29" s="112">
        <f t="shared" si="24"/>
        <v>4.5034835893560776E-2</v>
      </c>
      <c r="P29" s="63" cm="1">
        <f t="array" ref="P29">hidro_slopeMinH(K29/1000,N29/1000,Parametros!$B$28,Parametros!$B$29)</f>
        <v>5.0798677890587264E-2</v>
      </c>
      <c r="Q29" s="63" cm="1">
        <f t="array" ref="Q29">hidro_slopeMinVELOCITY(J29/1000,N29/1000,Parametros!$B$26,Parametros!$B$29)</f>
        <v>8.0763968838202058E-3</v>
      </c>
      <c r="R29" s="63" cm="1">
        <f t="array" ref="R29">hidro_slopeMaxVELOCITY(K29/1000,N29/1000,Parametros!$B$27,Parametros!$B$29)</f>
        <v>0.26784624348596486</v>
      </c>
      <c r="S29" s="63">
        <f>MAX(P29,Q29,Parametros!$B$9)</f>
        <v>5.0798677890587264E-2</v>
      </c>
      <c r="T29" s="63">
        <f>MIN(R29,Parametros!$B$10)</f>
        <v>0.15</v>
      </c>
      <c r="U29" s="113">
        <v>0.05</v>
      </c>
      <c r="V29" s="121">
        <f t="shared" si="33"/>
        <v>1.202852500000001</v>
      </c>
      <c r="W29" s="122">
        <f t="shared" si="25"/>
        <v>1.3211525000000219</v>
      </c>
      <c r="X29" s="129">
        <f t="shared" si="26"/>
        <v>671.18514750000008</v>
      </c>
      <c r="Y29" s="130">
        <f t="shared" si="26"/>
        <v>669.99384750000002</v>
      </c>
      <c r="Z29" s="6"/>
      <c r="AA29" s="137" cm="1">
        <f t="array" ref="AA29">hidro_findTheta(J29/1000,N29/1000,U29,Parametros!$B$14)</f>
        <v>3.2924278706538397</v>
      </c>
      <c r="AB29" s="138" cm="1">
        <f t="array" ref="AB29">hidro_findTheta(K29/1000,N29/1000,U29,Parametros!$B$14)</f>
        <v>3.2924278706538397</v>
      </c>
      <c r="AC29" s="137">
        <f t="shared" si="27"/>
        <v>0.35591145281768005</v>
      </c>
      <c r="AD29" s="138">
        <f t="shared" si="28"/>
        <v>0.35591145281768005</v>
      </c>
      <c r="AE29" s="121">
        <f t="shared" si="29"/>
        <v>0.53767306764268319</v>
      </c>
      <c r="AF29" s="122">
        <f t="shared" si="29"/>
        <v>0.53767306764268319</v>
      </c>
      <c r="AG29" s="121">
        <f t="shared" si="30"/>
        <v>4.1162091253569848</v>
      </c>
      <c r="AH29" s="122">
        <f t="shared" si="31"/>
        <v>4.1162091253569848</v>
      </c>
      <c r="AI29" s="121">
        <f t="shared" si="32"/>
        <v>174.39661188066324</v>
      </c>
      <c r="AJ29" s="122">
        <f t="shared" si="32"/>
        <v>174.39661188066324</v>
      </c>
    </row>
    <row r="30" spans="1:36" ht="15.6" x14ac:dyDescent="0.3">
      <c r="A30" s="68" t="s">
        <v>112</v>
      </c>
      <c r="B30" s="72" t="str">
        <f>INDEX(Pipe[],MATCH(A30,Pipe[Nome],0),2)</f>
        <v>CV-46</v>
      </c>
      <c r="C30" s="73" t="str">
        <f>INDEX(Pipe[],MATCH(A30,Pipe[Nome],0),3)</f>
        <v>CV-48</v>
      </c>
      <c r="D30" s="80">
        <f>INDEX(CV[],MATCH(B30,CV[Nome],0),4)</f>
        <v>671.31500000000005</v>
      </c>
      <c r="E30" s="81">
        <f>INDEX(CV[],MATCH(C30,CV[Nome],0),4)</f>
        <v>670.75800000000004</v>
      </c>
      <c r="F30" s="90">
        <f>INDEX(Pipe[],MATCH(A30,Pipe[Nome],0),8)</f>
        <v>17.291</v>
      </c>
      <c r="G30" s="86">
        <v>15.373568415278337</v>
      </c>
      <c r="H30" s="61">
        <v>17.174778744800616</v>
      </c>
      <c r="I30" s="93">
        <f>Parametros!$B$19*F30/1000*N30/10</f>
        <v>2.4015277777777776E-3</v>
      </c>
      <c r="J30" s="97">
        <v>137.871350433798</v>
      </c>
      <c r="K30" s="98">
        <v>137.871350433798</v>
      </c>
      <c r="L30" s="102">
        <f>MAX(hidro_minimumDiameter(K30/1000,Parametros!$B$28,Parametros!$B$25,Parametros!$B$27,Parametros!$B$29),200)</f>
        <v>213.66446694179524</v>
      </c>
      <c r="M30" s="62">
        <f t="shared" si="23"/>
        <v>284.90523868747442</v>
      </c>
      <c r="N30" s="103">
        <v>240</v>
      </c>
      <c r="O30" s="112">
        <f t="shared" si="24"/>
        <v>3.2213290150946525E-2</v>
      </c>
      <c r="P30" s="63" cm="1">
        <f t="array" ref="P30">hidro_slopeMinH(K30/1000,N30/1000,Parametros!$B$28,Parametros!$B$29)</f>
        <v>8.0699390776344748E-2</v>
      </c>
      <c r="Q30" s="63" cm="1">
        <f t="array" ref="Q30">hidro_slopeMinVELOCITY(J30/1000,N30/1000,Parametros!$B$26,Parametros!$B$29)</f>
        <v>7.1940324959750574E-3</v>
      </c>
      <c r="R30" s="63" cm="1">
        <f t="array" ref="R30">hidro_slopeMaxVELOCITY(K30/1000,N30/1000,Parametros!$B$27,Parametros!$B$29)</f>
        <v>0.19184554856838545</v>
      </c>
      <c r="S30" s="63">
        <f>MAX(P30,Q30,Parametros!$B$9)</f>
        <v>8.0699390776344748E-2</v>
      </c>
      <c r="T30" s="63">
        <f>MIN(R30,Parametros!$B$10)</f>
        <v>0.15</v>
      </c>
      <c r="U30" s="113">
        <v>3.2199999999999999E-2</v>
      </c>
      <c r="V30" s="121">
        <f t="shared" si="33"/>
        <v>1.3211525000000219</v>
      </c>
      <c r="W30" s="122">
        <f t="shared" si="25"/>
        <v>1.3209227000000054</v>
      </c>
      <c r="X30" s="129">
        <f t="shared" si="26"/>
        <v>669.99384750000002</v>
      </c>
      <c r="Y30" s="130">
        <f t="shared" si="26"/>
        <v>669.43707730000006</v>
      </c>
      <c r="Z30" s="6"/>
      <c r="AA30" s="137" cm="1">
        <f t="array" ref="AA30">hidro_findTheta(J30/1000,N30/1000,U30,Parametros!$B$14)</f>
        <v>4.1086435878830612</v>
      </c>
      <c r="AB30" s="138" cm="1">
        <f t="array" ref="AB30">hidro_findTheta(K30/1000,N30/1000,U30,Parametros!$B$14)</f>
        <v>4.1086435878830612</v>
      </c>
      <c r="AC30" s="137">
        <f t="shared" si="27"/>
        <v>0.49303723054596732</v>
      </c>
      <c r="AD30" s="138">
        <f t="shared" si="28"/>
        <v>0.49303723054596732</v>
      </c>
      <c r="AE30" s="121">
        <f t="shared" si="29"/>
        <v>0.73245168540918504</v>
      </c>
      <c r="AF30" s="122">
        <f t="shared" si="29"/>
        <v>0.73245168540918504</v>
      </c>
      <c r="AG30" s="121">
        <f t="shared" si="30"/>
        <v>3.8826738925559581</v>
      </c>
      <c r="AH30" s="122">
        <f t="shared" si="31"/>
        <v>3.8826738925559581</v>
      </c>
      <c r="AI30" s="121">
        <f t="shared" si="32"/>
        <v>155.58282847108546</v>
      </c>
      <c r="AJ30" s="122">
        <f t="shared" si="32"/>
        <v>155.58282847108546</v>
      </c>
    </row>
    <row r="31" spans="1:36" ht="15.6" x14ac:dyDescent="0.3">
      <c r="A31" s="68" t="s">
        <v>113</v>
      </c>
      <c r="B31" s="72" t="str">
        <f>INDEX(Pipe[],MATCH(A31,Pipe[Nome],0),2)</f>
        <v>CV-48</v>
      </c>
      <c r="C31" s="73" t="str">
        <f>INDEX(Pipe[],MATCH(A31,Pipe[Nome],0),3)</f>
        <v>CV-49</v>
      </c>
      <c r="D31" s="80">
        <f>INDEX(CV[],MATCH(B31,CV[Nome],0),4)</f>
        <v>670.75800000000004</v>
      </c>
      <c r="E31" s="81">
        <f>INDEX(CV[],MATCH(C31,CV[Nome],0),4)</f>
        <v>669.65200000000004</v>
      </c>
      <c r="F31" s="90">
        <f>INDEX(Pipe[],MATCH(A31,Pipe[Nome],0),8)</f>
        <v>37.341000000000001</v>
      </c>
      <c r="G31" s="86">
        <v>15.48245495395744</v>
      </c>
      <c r="H31" s="61">
        <v>17.35736459679541</v>
      </c>
      <c r="I31" s="93">
        <f>Parametros!$B$19*F31/1000*N31/10</f>
        <v>6.5260312499999997E-3</v>
      </c>
      <c r="J31" s="97">
        <v>158.40405478379799</v>
      </c>
      <c r="K31" s="98">
        <v>158.40405478379799</v>
      </c>
      <c r="L31" s="102">
        <f>MAX(hidro_minimumDiameter(K31/1000,Parametros!$B$28,Parametros!$B$25,Parametros!$B$27,Parametros!$B$29),200)</f>
        <v>225.08258953338196</v>
      </c>
      <c r="M31" s="62">
        <f t="shared" si="23"/>
        <v>304.90589030595692</v>
      </c>
      <c r="N31" s="103">
        <v>302</v>
      </c>
      <c r="O31" s="112">
        <f t="shared" si="24"/>
        <v>2.9618917543718554E-2</v>
      </c>
      <c r="P31" s="63" cm="1">
        <f t="array" ref="P31">hidro_slopeMinH(K31/1000,N31/1000,Parametros!$B$28,Parametros!$B$29)</f>
        <v>3.1275988580426489E-2</v>
      </c>
      <c r="Q31" s="63" cm="1">
        <f t="array" ref="Q31">hidro_slopeMinVELOCITY(J31/1000,N31/1000,Parametros!$B$26,Parametros!$B$29)</f>
        <v>5.2408100337788914E-3</v>
      </c>
      <c r="R31" s="63" cm="1">
        <f t="array" ref="R31">hidro_slopeMaxVELOCITY(K31/1000,N31/1000,Parametros!$B$27,Parametros!$B$29)</f>
        <v>0.17391421364947723</v>
      </c>
      <c r="S31" s="63">
        <f>MAX(P31,Q31,Parametros!$B$9)</f>
        <v>3.1275988580426489E-2</v>
      </c>
      <c r="T31" s="63">
        <f>MIN(R31,Parametros!$B$10)</f>
        <v>0.15</v>
      </c>
      <c r="U31" s="113">
        <v>2.9600000000000001E-2</v>
      </c>
      <c r="V31" s="121">
        <f t="shared" si="33"/>
        <v>1.3209227000000054</v>
      </c>
      <c r="W31" s="122">
        <f t="shared" si="25"/>
        <v>1.3202163000000109</v>
      </c>
      <c r="X31" s="129">
        <f t="shared" si="26"/>
        <v>669.43707730000006</v>
      </c>
      <c r="Y31" s="130">
        <f t="shared" si="26"/>
        <v>668.33178370000007</v>
      </c>
      <c r="Z31" s="6"/>
      <c r="AA31" s="137" cm="1">
        <f t="array" ref="AA31">hidro_findTheta(J31/1000,N31/1000,U31,Parametros!$B$14)</f>
        <v>3.3184801033605504</v>
      </c>
      <c r="AB31" s="138" cm="1">
        <f t="array" ref="AB31">hidro_findTheta(K31/1000,N31/1000,U31,Parametros!$B$14)</f>
        <v>3.3184801033605504</v>
      </c>
      <c r="AC31" s="137">
        <f t="shared" si="27"/>
        <v>0.50109049560744312</v>
      </c>
      <c r="AD31" s="138">
        <f t="shared" si="28"/>
        <v>0.50109049560744312</v>
      </c>
      <c r="AE31" s="121">
        <f t="shared" si="29"/>
        <v>0.54416423226370247</v>
      </c>
      <c r="AF31" s="122">
        <f t="shared" si="29"/>
        <v>0.54416423226370247</v>
      </c>
      <c r="AG31" s="121">
        <f t="shared" si="30"/>
        <v>3.9761612926556675</v>
      </c>
      <c r="AH31" s="122">
        <f t="shared" si="31"/>
        <v>3.9761612926556675</v>
      </c>
      <c r="AI31" s="121">
        <f t="shared" si="32"/>
        <v>145.3563309658071</v>
      </c>
      <c r="AJ31" s="122">
        <f t="shared" si="32"/>
        <v>145.3563309658071</v>
      </c>
    </row>
    <row r="32" spans="1:36" ht="15.6" x14ac:dyDescent="0.3">
      <c r="A32" s="68" t="s">
        <v>114</v>
      </c>
      <c r="B32" s="72" t="str">
        <f>INDEX(Pipe[],MATCH(A32,Pipe[Nome],0),2)</f>
        <v>CV-49</v>
      </c>
      <c r="C32" s="73" t="str">
        <f>INDEX(Pipe[],MATCH(A32,Pipe[Nome],0),3)</f>
        <v>CV-50</v>
      </c>
      <c r="D32" s="80">
        <f>INDEX(CV[],MATCH(B32,CV[Nome],0),4)</f>
        <v>669.65200000000004</v>
      </c>
      <c r="E32" s="81">
        <f>INDEX(CV[],MATCH(C32,CV[Nome],0),4)</f>
        <v>669.11800000000005</v>
      </c>
      <c r="F32" s="90">
        <f>INDEX(Pipe[],MATCH(A32,Pipe[Nome],0),8)</f>
        <v>24.888999999999999</v>
      </c>
      <c r="G32" s="86">
        <v>15.581535115838511</v>
      </c>
      <c r="H32" s="61">
        <v>17.520098684013835</v>
      </c>
      <c r="I32" s="93">
        <f>Parametros!$B$19*F32/1000*N32/10</f>
        <v>4.3498136574074073E-3</v>
      </c>
      <c r="J32" s="97">
        <v>194.06991839901406</v>
      </c>
      <c r="K32" s="98">
        <v>194.06991839901406</v>
      </c>
      <c r="L32" s="102">
        <f>MAX(hidro_minimumDiameter(K32/1000,Parametros!$B$28,Parametros!$B$25,Parametros!$B$27,Parametros!$B$29),200)</f>
        <v>242.89237214735539</v>
      </c>
      <c r="M32" s="62">
        <f t="shared" si="23"/>
        <v>349.35967288075426</v>
      </c>
      <c r="N32" s="103">
        <v>302</v>
      </c>
      <c r="O32" s="112">
        <f t="shared" si="24"/>
        <v>2.1455261360440028E-2</v>
      </c>
      <c r="P32" s="63" cm="1">
        <f t="array" ref="P32">hidro_slopeMinH(K32/1000,N32/1000,Parametros!$B$28,Parametros!$B$29)</f>
        <v>4.6945601043621117E-2</v>
      </c>
      <c r="Q32" s="63" cm="1">
        <f t="array" ref="Q32">hidro_slopeMinVELOCITY(J32/1000,N32/1000,Parametros!$B$26,Parametros!$B$29)</f>
        <v>5.4272408384273144E-3</v>
      </c>
      <c r="R32" s="63" cm="1">
        <f t="array" ref="R32">hidro_slopeMaxVELOCITY(K32/1000,N32/1000,Parametros!$B$27,Parametros!$B$29)</f>
        <v>0.15172286304929458</v>
      </c>
      <c r="S32" s="63">
        <f>MAX(P32,Q32,Parametros!$B$9)</f>
        <v>4.6945601043621117E-2</v>
      </c>
      <c r="T32" s="63">
        <f>MIN(R32,Parametros!$B$10)</f>
        <v>0.15</v>
      </c>
      <c r="U32" s="113">
        <v>2.1499999999999998E-2</v>
      </c>
      <c r="V32" s="121">
        <f t="shared" si="33"/>
        <v>1.3202163000000109</v>
      </c>
      <c r="W32" s="122">
        <f t="shared" si="25"/>
        <v>1.3213298000000191</v>
      </c>
      <c r="X32" s="129">
        <f t="shared" si="26"/>
        <v>668.33178370000007</v>
      </c>
      <c r="Y32" s="130">
        <f t="shared" si="26"/>
        <v>667.79667019999999</v>
      </c>
      <c r="Z32" s="6"/>
      <c r="AA32" s="137" cm="1">
        <f t="array" ref="AA32">hidro_findTheta(J32/1000,N32/1000,U32,Parametros!$B$14,5)</f>
        <v>3.9376963344748019</v>
      </c>
      <c r="AB32" s="138" cm="1">
        <f t="array" ref="AB32">hidro_findTheta(K32/1000,N32/1000,U32,Parametros!$B$14,5)</f>
        <v>3.9376963344748019</v>
      </c>
      <c r="AC32" s="137">
        <f>(N32/1000)*AA32/2</f>
        <v>0.59459214650569503</v>
      </c>
      <c r="AD32" s="138">
        <f t="shared" si="28"/>
        <v>0.59459214650569503</v>
      </c>
      <c r="AE32" s="121">
        <f t="shared" si="29"/>
        <v>0.69381161534035296</v>
      </c>
      <c r="AF32" s="122">
        <f t="shared" si="29"/>
        <v>0.69381161534035296</v>
      </c>
      <c r="AG32" s="121">
        <f t="shared" si="30"/>
        <v>3.6590099300926489</v>
      </c>
      <c r="AH32" s="122">
        <f t="shared" si="31"/>
        <v>3.6590099300926489</v>
      </c>
      <c r="AI32" s="121">
        <f t="shared" si="32"/>
        <v>125.28056526874994</v>
      </c>
      <c r="AJ32" s="122">
        <f t="shared" si="32"/>
        <v>125.28056526874994</v>
      </c>
    </row>
    <row r="33" spans="1:66" ht="15.6" x14ac:dyDescent="0.3">
      <c r="A33" s="68" t="s">
        <v>152</v>
      </c>
      <c r="B33" s="72" t="str">
        <f>INDEX(Pipe[],MATCH(A33,Pipe[Nome],0),2)</f>
        <v>CV-50</v>
      </c>
      <c r="C33" s="73" t="str">
        <f>INDEX(Pipe[],MATCH(A33,Pipe[Nome],0),3)</f>
        <v>CV-51</v>
      </c>
      <c r="D33" s="80">
        <f>INDEX(CV[],MATCH(B33,CV[Nome],0),4)</f>
        <v>669.11800000000005</v>
      </c>
      <c r="E33" s="81">
        <f>INDEX(CV[],MATCH(C33,CV[Nome],0),4)</f>
        <v>668.94600000000003</v>
      </c>
      <c r="F33" s="90">
        <f>INDEX(Pipe[],MATCH(A33,Pipe[Nome],0),8)</f>
        <v>17.887</v>
      </c>
      <c r="G33" s="86">
        <v>15.692352620694408</v>
      </c>
      <c r="H33" s="61">
        <v>17.702872800120652</v>
      </c>
      <c r="I33" s="93">
        <f>Parametros!$B$19*F33/1000*N33/10</f>
        <v>4.4717499999999992E-3</v>
      </c>
      <c r="J33" s="97">
        <v>225.59423368634543</v>
      </c>
      <c r="K33" s="98">
        <v>225.59423368634543</v>
      </c>
      <c r="L33" s="102">
        <f>MAX(hidro_minimumDiameter(K33/1000,Parametros!$B$28,Parametros!$B$25,Parametros!$B$27,Parametros!$B$29),200)</f>
        <v>256.99669635965137</v>
      </c>
      <c r="M33" s="62">
        <f t="shared" si="23"/>
        <v>429.97459052578483</v>
      </c>
      <c r="N33" s="103">
        <v>432</v>
      </c>
      <c r="O33" s="112">
        <f t="shared" si="24"/>
        <v>9.61592217811961E-3</v>
      </c>
      <c r="P33" s="63" cm="1">
        <f t="array" ref="P33">hidro_slopeMinH(K33/1000,N33/1000,Parametros!$B$28,Parametros!$B$29)</f>
        <v>9.3999344679698543E-3</v>
      </c>
      <c r="Q33" s="63" cm="1">
        <f t="array" ref="Q33">hidro_slopeMinVELOCITY(J33/1000,N33/1000,Parametros!$B$26,Parametros!$B$29)</f>
        <v>2.9639008104559638E-3</v>
      </c>
      <c r="R33" s="63" cm="1">
        <f t="array" ref="R33">hidro_slopeMaxVELOCITY(K33/1000,N33/1000,Parametros!$B$27,Parametros!$B$29)</f>
        <v>0.14102577533487934</v>
      </c>
      <c r="S33" s="63">
        <f>MAX(P33,Q33,Parametros!$B$9)</f>
        <v>9.3999344679698543E-3</v>
      </c>
      <c r="T33" s="63">
        <f>MIN(R33,Parametros!$B$10)</f>
        <v>0.14102577533487934</v>
      </c>
      <c r="U33" s="113">
        <v>9.5999999999999992E-3</v>
      </c>
      <c r="V33" s="121">
        <f t="shared" si="33"/>
        <v>1.3213298000000191</v>
      </c>
      <c r="W33" s="122">
        <f t="shared" si="25"/>
        <v>1.3210449999999936</v>
      </c>
      <c r="X33" s="129">
        <f t="shared" si="26"/>
        <v>667.79667019999999</v>
      </c>
      <c r="Y33" s="130">
        <f t="shared" si="26"/>
        <v>667.624955</v>
      </c>
      <c r="Z33" s="6"/>
      <c r="AA33" s="137" cm="1">
        <f t="array" ref="AA33">hidro_findTheta(J33/1000,N33/1000,U33,Parametros!$B$14)</f>
        <v>3.2683712882333631</v>
      </c>
      <c r="AB33" s="138" cm="1">
        <f t="array" ref="AB33">hidro_findTheta(K33/1000,N33/1000,U33,Parametros!$B$14)</f>
        <v>3.2683712882333631</v>
      </c>
      <c r="AC33" s="137">
        <f t="shared" si="27"/>
        <v>0.7059681982584064</v>
      </c>
      <c r="AD33" s="138">
        <f t="shared" si="28"/>
        <v>0.7059681982584064</v>
      </c>
      <c r="AE33" s="121">
        <f t="shared" si="29"/>
        <v>0.53167343698276892</v>
      </c>
      <c r="AF33" s="122">
        <f t="shared" si="29"/>
        <v>0.53167343698276892</v>
      </c>
      <c r="AG33" s="121">
        <f t="shared" si="30"/>
        <v>2.8486227667509181</v>
      </c>
      <c r="AH33" s="122">
        <f t="shared" si="31"/>
        <v>2.8486227667509181</v>
      </c>
      <c r="AI33" s="121">
        <f t="shared" si="32"/>
        <v>66.417488092150862</v>
      </c>
      <c r="AJ33" s="122">
        <f t="shared" si="32"/>
        <v>66.417488092150862</v>
      </c>
    </row>
    <row r="34" spans="1:66" s="57" customFormat="1" ht="15.6" x14ac:dyDescent="0.3">
      <c r="A34" s="69"/>
      <c r="B34" s="74"/>
      <c r="C34" s="75"/>
      <c r="D34" s="82"/>
      <c r="E34" s="83"/>
      <c r="F34" s="91"/>
      <c r="G34" s="87"/>
      <c r="H34" s="65"/>
      <c r="I34" s="94"/>
      <c r="J34" s="82"/>
      <c r="K34" s="83"/>
      <c r="L34" s="104"/>
      <c r="M34" s="64"/>
      <c r="N34" s="105"/>
      <c r="O34" s="114"/>
      <c r="P34" s="66"/>
      <c r="Q34" s="66"/>
      <c r="R34" s="66"/>
      <c r="S34" s="66"/>
      <c r="T34" s="66"/>
      <c r="U34" s="115"/>
      <c r="V34" s="123"/>
      <c r="W34" s="144"/>
      <c r="X34" s="131"/>
      <c r="Y34" s="132"/>
      <c r="Z34" s="55"/>
      <c r="AA34" s="139"/>
      <c r="AB34" s="140"/>
      <c r="AC34" s="139"/>
      <c r="AD34" s="140"/>
      <c r="AE34" s="123"/>
      <c r="AF34" s="124"/>
      <c r="AG34"/>
      <c r="AH34" s="124"/>
      <c r="AI34" s="123"/>
      <c r="AJ34" s="124"/>
    </row>
    <row r="35" spans="1:66" ht="15.6" x14ac:dyDescent="0.3">
      <c r="A35" s="68" t="s">
        <v>154</v>
      </c>
      <c r="B35" s="72" t="str">
        <f>INDEX(Pipe[],MATCH(A35,Pipe[Nome],0),2)</f>
        <v>CV-6</v>
      </c>
      <c r="C35" s="73" t="str">
        <f>INDEX(Pipe[],MATCH(A35,Pipe[Nome],0),3)</f>
        <v>CV-8</v>
      </c>
      <c r="D35" s="80">
        <f>INDEX(CV[],MATCH(B35,CV[Nome],0),4)</f>
        <v>677.95899999999995</v>
      </c>
      <c r="E35" s="81">
        <f>INDEX(CV[],MATCH(C35,CV[Nome],0),4)</f>
        <v>677.57899999999995</v>
      </c>
      <c r="F35" s="90">
        <f>INDEX(Pipe[],MATCH(A35,Pipe[Nome],0),8)</f>
        <v>21.103000000000002</v>
      </c>
      <c r="G35" s="88">
        <v>18.84</v>
      </c>
      <c r="H35" s="67">
        <v>18.84</v>
      </c>
      <c r="I35" s="93">
        <f>Parametros!$B$19*F35/1000*N35/10</f>
        <v>2.637875E-3</v>
      </c>
      <c r="J35" s="82">
        <v>18.70548858739944</v>
      </c>
      <c r="K35" s="83">
        <v>18.70548858739944</v>
      </c>
      <c r="L35" s="102">
        <f>MAX(hidro_minimumDiameter(K35/1000,Parametros!$B$28,Parametros!$B$25,Parametros!$B$27,Parametros!$B$29),200)</f>
        <v>200</v>
      </c>
      <c r="M35" s="62">
        <f t="shared" ref="M35:M39" si="34">0.3145*(K35/1000/(SQRT(U35)))^(3/8)*1000</f>
        <v>151.02171987622171</v>
      </c>
      <c r="N35" s="103">
        <v>216</v>
      </c>
      <c r="O35" s="112">
        <f t="shared" ref="O35:O39" si="35">(D35-E35)/F35</f>
        <v>1.8006918447613866E-2</v>
      </c>
      <c r="P35" s="63" cm="1">
        <f t="array" ref="P35">hidro_slopeMinH(K35/1000,N35/1000,Parametros!$B$28,Parametros!$B$29)</f>
        <v>2.6055550883359916E-3</v>
      </c>
      <c r="Q35" s="63" cm="1">
        <f t="array" ref="Q35">hidro_slopeMinVELOCITY(J35/1000,N35/1000,Parametros!$B$26,Parametros!$B$29)</f>
        <v>7.4683108089071051E-3</v>
      </c>
      <c r="R35" s="63" cm="1">
        <f t="array" ref="R35">hidro_slopeMaxVELOCITY(K35/1000,N35/1000,Parametros!$B$27,Parametros!$B$29)</f>
        <v>0.87326082337573974</v>
      </c>
      <c r="S35" s="63">
        <f>MAX(P35,Q35,Parametros!$B$9)</f>
        <v>7.4683108089071051E-3</v>
      </c>
      <c r="T35" s="63">
        <f>MIN(R35,Parametros!$B$10)</f>
        <v>0.15</v>
      </c>
      <c r="U35" s="113">
        <v>1.7500000000000002E-2</v>
      </c>
      <c r="V35" s="123">
        <v>1.1000000000000001</v>
      </c>
      <c r="W35" s="122">
        <f t="shared" ref="W35:W39" si="36">(E35-D35)+V35+F35*U35</f>
        <v>1.0893025000000047</v>
      </c>
      <c r="X35" s="129">
        <v>676.88400000000001</v>
      </c>
      <c r="Y35" s="130">
        <v>676.51499999999999</v>
      </c>
      <c r="Z35" s="6"/>
      <c r="AA35" s="137" cm="1">
        <f t="array" ref="AA35">hidro_findTheta(J35/1000,N35/1000,U35,Parametros!$B$14)</f>
        <v>2.3866333132396469</v>
      </c>
      <c r="AB35" s="138" cm="1">
        <f t="array" ref="AB35">hidro_findTheta(K35/1000,N35/1000,U35,Parametros!$B$14)</f>
        <v>2.3866333132396469</v>
      </c>
      <c r="AC35" s="137">
        <f t="shared" ref="AC35:AC39" si="37">(N35/1000)*AA35/2</f>
        <v>0.25775639782988186</v>
      </c>
      <c r="AD35" s="138">
        <f t="shared" ref="AD35:AD39" si="38">(N35/1000)*AB35/2</f>
        <v>0.25775639782988186</v>
      </c>
      <c r="AE35" s="121">
        <f t="shared" ref="AE35:AF39" si="39">(1-COS(AA35/2))/2</f>
        <v>0.31571062367095204</v>
      </c>
      <c r="AF35" s="122">
        <f t="shared" si="39"/>
        <v>0.31571062367095204</v>
      </c>
      <c r="AG35" s="121">
        <f t="shared" ref="AG35:AG39" si="40">(J35/1000)/(((N35/1000)^2/8)*(AA35-SIN(AA35)))</f>
        <v>1.8851750528405358</v>
      </c>
      <c r="AH35" s="122">
        <f t="shared" ref="AH35:AH39" si="41">(K35/1000)/(((N35/1000)^2/8)*(AB35-SIN(AB35)))</f>
        <v>1.8851750528405358</v>
      </c>
      <c r="AI35" s="121">
        <f t="shared" ref="AI35:AJ39" si="42">9800*AC35*$U35</f>
        <v>44.205222227824741</v>
      </c>
      <c r="AJ35" s="122">
        <f t="shared" si="42"/>
        <v>44.205222227824741</v>
      </c>
    </row>
    <row r="36" spans="1:66" ht="15.6" x14ac:dyDescent="0.3">
      <c r="A36" s="68" t="s">
        <v>155</v>
      </c>
      <c r="B36" s="72" t="str">
        <f>INDEX(Pipe[],MATCH(A36,Pipe[Nome],0),2)</f>
        <v>CV-8</v>
      </c>
      <c r="C36" s="73" t="str">
        <f>INDEX(Pipe[],MATCH(A36,Pipe[Nome],0),3)</f>
        <v>CV-13</v>
      </c>
      <c r="D36" s="80">
        <f>INDEX(CV[],MATCH(B36,CV[Nome],0),4)</f>
        <v>677.57899999999995</v>
      </c>
      <c r="E36" s="81">
        <f>INDEX(CV[],MATCH(C36,CV[Nome],0),4)</f>
        <v>677.10299999999995</v>
      </c>
      <c r="F36" s="90">
        <f>INDEX(Pipe[],MATCH(A36,Pipe[Nome],0),8)</f>
        <v>19.454999999999998</v>
      </c>
      <c r="G36" s="88">
        <v>18.84</v>
      </c>
      <c r="H36" s="67">
        <v>18.84</v>
      </c>
      <c r="I36" s="93">
        <f>Parametros!$B$19*F36/1000*N36/10</f>
        <v>2.4318749999999996E-3</v>
      </c>
      <c r="J36" s="82">
        <v>27.252846394084187</v>
      </c>
      <c r="K36" s="83">
        <v>27.252846394084187</v>
      </c>
      <c r="L36" s="102">
        <f>MAX(hidro_minimumDiameter(K36/1000,Parametros!$B$28,Parametros!$B$25,Parametros!$B$27,Parametros!$B$29),200)</f>
        <v>200</v>
      </c>
      <c r="M36" s="62">
        <f t="shared" si="34"/>
        <v>167.32771837369259</v>
      </c>
      <c r="N36" s="103">
        <v>216</v>
      </c>
      <c r="O36" s="112">
        <f t="shared" si="35"/>
        <v>2.4466718067334831E-2</v>
      </c>
      <c r="P36" s="63" cm="1">
        <f t="array" ref="P36">hidro_slopeMinH(K36/1000,N36/1000,Parametros!$B$28,Parametros!$B$29)</f>
        <v>5.5307736313464466E-3</v>
      </c>
      <c r="Q36" s="63" cm="1">
        <f t="array" ref="Q36">hidro_slopeMinVELOCITY(J36/1000,N36/1000,Parametros!$B$26,Parametros!$B$29)</f>
        <v>6.2656884260818505E-3</v>
      </c>
      <c r="R36" s="63" cm="1">
        <f t="array" ref="R36">hidro_slopeMaxVELOCITY(K36/1000,N36/1000,Parametros!$B$27,Parametros!$B$29)</f>
        <v>0.63723018394679387</v>
      </c>
      <c r="S36" s="63">
        <f>MAX(P36,Q36,Parametros!$B$9)</f>
        <v>6.2656884260818505E-3</v>
      </c>
      <c r="T36" s="63">
        <f>MIN(R36,Parametros!$B$10)</f>
        <v>0.15</v>
      </c>
      <c r="U36" s="113">
        <v>2.1499999999999998E-2</v>
      </c>
      <c r="V36" s="121">
        <f t="shared" ref="V36:V39" si="43">W35</f>
        <v>1.0893025000000047</v>
      </c>
      <c r="W36" s="122">
        <f t="shared" si="36"/>
        <v>1.0315850000000055</v>
      </c>
      <c r="X36" s="129">
        <v>672.29</v>
      </c>
      <c r="Y36" s="130">
        <v>675.87099999999998</v>
      </c>
      <c r="Z36" s="6"/>
      <c r="AA36" s="137" cm="1">
        <f t="array" ref="AA36">hidro_findTheta(J36/1000,N36/1000,U36,Parametros!$B$14)</f>
        <v>2.5935115812463301</v>
      </c>
      <c r="AB36" s="138" cm="1">
        <f t="array" ref="AB36">hidro_findTheta(K36/1000,N36/1000,U36,Parametros!$B$14)</f>
        <v>2.5935115812463301</v>
      </c>
      <c r="AC36" s="137">
        <f t="shared" si="37"/>
        <v>0.28009925077460363</v>
      </c>
      <c r="AD36" s="138">
        <f t="shared" si="38"/>
        <v>0.28009925077460363</v>
      </c>
      <c r="AE36" s="121">
        <f t="shared" si="39"/>
        <v>0.36468830002791691</v>
      </c>
      <c r="AF36" s="122">
        <f t="shared" si="39"/>
        <v>0.36468830002791691</v>
      </c>
      <c r="AG36" s="121">
        <f t="shared" si="40"/>
        <v>2.2547995255809345</v>
      </c>
      <c r="AH36" s="122">
        <f t="shared" si="41"/>
        <v>2.2547995255809345</v>
      </c>
      <c r="AI36" s="121">
        <f t="shared" si="42"/>
        <v>59.01691213820898</v>
      </c>
      <c r="AJ36" s="122">
        <f t="shared" si="42"/>
        <v>59.01691213820898</v>
      </c>
    </row>
    <row r="37" spans="1:66" ht="15.6" x14ac:dyDescent="0.3">
      <c r="A37" s="68" t="s">
        <v>156</v>
      </c>
      <c r="B37" s="72" t="str">
        <f>INDEX(Pipe[],MATCH(A37,Pipe[Nome],0),2)</f>
        <v>CV-16</v>
      </c>
      <c r="C37" s="73" t="str">
        <f>INDEX(Pipe[],MATCH(A37,Pipe[Nome],0),3)</f>
        <v>CV-13</v>
      </c>
      <c r="D37" s="80">
        <f>INDEX(CV[],MATCH(B37,CV[Nome],0),4)</f>
        <v>675.91499999999996</v>
      </c>
      <c r="E37" s="81">
        <f>INDEX(CV[],MATCH(C37,CV[Nome],0),4)</f>
        <v>677.10299999999995</v>
      </c>
      <c r="F37" s="90">
        <f>INDEX(Pipe[],MATCH(A37,Pipe[Nome],0),8)</f>
        <v>25.045000000000002</v>
      </c>
      <c r="G37" s="88">
        <v>18.84</v>
      </c>
      <c r="H37" s="67">
        <v>18.84</v>
      </c>
      <c r="I37" s="93">
        <f>Parametros!$B$19*F37/1000*N37/10</f>
        <v>3.1306250000000002E-3</v>
      </c>
      <c r="J37" s="82">
        <v>14.124743972500001</v>
      </c>
      <c r="K37" s="83">
        <v>14.124743972500001</v>
      </c>
      <c r="L37" s="102">
        <f>MAX(hidro_minimumDiameter(K37/1000,Parametros!$B$28,Parametros!$B$25,Parametros!$B$27,Parametros!$B$29),200)</f>
        <v>200</v>
      </c>
      <c r="M37" s="62">
        <f t="shared" si="34"/>
        <v>156.32780379027784</v>
      </c>
      <c r="N37" s="103">
        <v>216</v>
      </c>
      <c r="O37" s="112">
        <f t="shared" si="35"/>
        <v>-4.7434617688160832E-2</v>
      </c>
      <c r="P37" s="63" cm="1">
        <f t="array" ref="P37">hidro_slopeMinH(K37/1000,N37/1000,Parametros!$B$28,Parametros!$B$29)</f>
        <v>1.4856732908406515E-3</v>
      </c>
      <c r="Q37" s="63" cm="1">
        <f t="array" ref="Q37">hidro_slopeMinVELOCITY(J37/1000,N37/1000,Parametros!$B$26,Parametros!$B$29)</f>
        <v>9.0116254215335569E-3</v>
      </c>
      <c r="R37" s="63" cm="1">
        <f t="array" ref="R37">hidro_slopeMaxVELOCITY(K37/1000,N37/1000,Parametros!$B$27,Parametros!$B$29)</f>
        <v>1.1085891401285899</v>
      </c>
      <c r="S37" s="63">
        <f>MAX(P37,Q37,Parametros!$B$9)</f>
        <v>9.0116254215335569E-3</v>
      </c>
      <c r="T37" s="63">
        <f>MIN(R37,Parametros!$B$10)</f>
        <v>0.15</v>
      </c>
      <c r="U37" s="113">
        <v>8.3000000000000001E-3</v>
      </c>
      <c r="V37" s="121">
        <f t="shared" si="43"/>
        <v>1.0315850000000055</v>
      </c>
      <c r="W37" s="122">
        <f t="shared" si="36"/>
        <v>2.4274584999999935</v>
      </c>
      <c r="X37" s="129">
        <v>674.91899999999998</v>
      </c>
      <c r="Y37" s="130">
        <v>674.71</v>
      </c>
      <c r="Z37" s="6"/>
      <c r="AA37" s="137" cm="1">
        <f t="array" ref="AA37">hidro_findTheta(J37/1000,N37/1000,U37,Parametros!$B$14)</f>
        <v>2.4532081859358748</v>
      </c>
      <c r="AB37" s="138" cm="1">
        <f t="array" ref="AB37">hidro_findTheta(K37/1000,N37/1000,U37,Parametros!$B$14)</f>
        <v>2.4532081859358748</v>
      </c>
      <c r="AC37" s="137">
        <f t="shared" si="37"/>
        <v>0.26494648408107446</v>
      </c>
      <c r="AD37" s="138">
        <f t="shared" si="38"/>
        <v>0.26494648408107446</v>
      </c>
      <c r="AE37" s="121">
        <f t="shared" si="39"/>
        <v>0.33128180096038073</v>
      </c>
      <c r="AF37" s="122">
        <f t="shared" si="39"/>
        <v>0.33128180096038073</v>
      </c>
      <c r="AG37" s="121">
        <f t="shared" si="40"/>
        <v>1.332259499267713</v>
      </c>
      <c r="AH37" s="122">
        <f t="shared" si="41"/>
        <v>1.332259499267713</v>
      </c>
      <c r="AI37" s="121">
        <f t="shared" si="42"/>
        <v>21.550747015154599</v>
      </c>
      <c r="AJ37" s="122">
        <f t="shared" si="42"/>
        <v>21.550747015154599</v>
      </c>
    </row>
    <row r="38" spans="1:66" ht="15.6" x14ac:dyDescent="0.3">
      <c r="A38" s="68" t="s">
        <v>157</v>
      </c>
      <c r="B38" s="72" t="str">
        <f>INDEX(Pipe[],MATCH(A38,Pipe[Nome],0),2)</f>
        <v>CV-7</v>
      </c>
      <c r="C38" s="73" t="str">
        <f>INDEX(Pipe[],MATCH(A38,Pipe[Nome],0),3)</f>
        <v>CV-13</v>
      </c>
      <c r="D38" s="80">
        <f>INDEX(CV[],MATCH(B38,CV[Nome],0),4)</f>
        <v>673.36500000000001</v>
      </c>
      <c r="E38" s="81">
        <f>INDEX(CV[],MATCH(C38,CV[Nome],0),4)</f>
        <v>677.10299999999995</v>
      </c>
      <c r="F38" s="90">
        <f>INDEX(Pipe[],MATCH(A38,Pipe[Nome],0),8)</f>
        <v>32.231999999999999</v>
      </c>
      <c r="G38" s="88">
        <v>18.84</v>
      </c>
      <c r="H38" s="67">
        <v>18.84</v>
      </c>
      <c r="I38" s="93">
        <f>Parametros!$B$19*F38/1000*N38/10</f>
        <v>4.0289999999999996E-3</v>
      </c>
      <c r="J38" s="82">
        <v>51.486728552084188</v>
      </c>
      <c r="K38" s="83">
        <v>51.486728552084188</v>
      </c>
      <c r="L38" s="102">
        <f>MAX(hidro_minimumDiameter(K38/1000,Parametros!$B$28,Parametros!$B$25,Parametros!$B$27,Parametros!$B$29),200)</f>
        <v>200</v>
      </c>
      <c r="M38" s="62">
        <f t="shared" si="34"/>
        <v>173.89171199268137</v>
      </c>
      <c r="N38" s="103">
        <v>216</v>
      </c>
      <c r="O38" s="112">
        <f t="shared" si="35"/>
        <v>-0.11597170513774953</v>
      </c>
      <c r="P38" s="63" cm="1">
        <f t="array" ref="P38">hidro_slopeMinH(K38/1000,N38/1000,Parametros!$B$28,Parametros!$B$29)</f>
        <v>1.9740254269254902E-2</v>
      </c>
      <c r="Q38" s="63" cm="1">
        <f t="array" ref="Q38">hidro_slopeMinVELOCITY(J38/1000,N38/1000,Parametros!$B$26,Parametros!$B$29)</f>
        <v>7.8889180648421039E-3</v>
      </c>
      <c r="R38" s="63" cm="1">
        <f t="array" ref="R38">hidro_slopeMaxVELOCITY(K38/1000,N38/1000,Parametros!$B$27,Parametros!$B$29)</f>
        <v>0.38132261717953925</v>
      </c>
      <c r="S38" s="63">
        <f>MAX(P38,Q38,Parametros!$B$9)</f>
        <v>1.9740254269254902E-2</v>
      </c>
      <c r="T38" s="63">
        <f>MIN(R38,Parametros!$B$10)</f>
        <v>0.15</v>
      </c>
      <c r="U38" s="113">
        <v>6.25E-2</v>
      </c>
      <c r="V38" s="121">
        <f t="shared" si="43"/>
        <v>2.4274584999999935</v>
      </c>
      <c r="W38" s="122">
        <f t="shared" si="36"/>
        <v>8.1799584999999357</v>
      </c>
      <c r="X38" s="129">
        <v>674.71</v>
      </c>
      <c r="Y38" s="130">
        <v>672</v>
      </c>
      <c r="Z38" s="6"/>
      <c r="AA38" s="137" cm="1">
        <f t="array" ref="AA38">hidro_findTheta(J38/1000,N38/1000,U38,Parametros!$B$14)</f>
        <v>2.6790709977797857</v>
      </c>
      <c r="AB38" s="138" cm="1">
        <f t="array" ref="AB38">hidro_findTheta(K38/1000,N38/1000,U38,Parametros!$B$14)</f>
        <v>2.6790709977797857</v>
      </c>
      <c r="AC38" s="137">
        <f t="shared" si="37"/>
        <v>0.28933966776021686</v>
      </c>
      <c r="AD38" s="138">
        <f t="shared" si="38"/>
        <v>0.28933966776021686</v>
      </c>
      <c r="AE38" s="121">
        <f t="shared" si="39"/>
        <v>0.3853975161177553</v>
      </c>
      <c r="AF38" s="122">
        <f t="shared" si="39"/>
        <v>0.3853975161177553</v>
      </c>
      <c r="AG38" s="121">
        <f t="shared" si="40"/>
        <v>3.953806046549432</v>
      </c>
      <c r="AH38" s="122">
        <f t="shared" si="41"/>
        <v>3.953806046549432</v>
      </c>
      <c r="AI38" s="121">
        <f t="shared" si="42"/>
        <v>177.22054650313282</v>
      </c>
      <c r="AJ38" s="122">
        <f t="shared" si="42"/>
        <v>177.22054650313282</v>
      </c>
    </row>
    <row r="39" spans="1:66" ht="16.2" thickBot="1" x14ac:dyDescent="0.35">
      <c r="A39" s="68" t="s">
        <v>158</v>
      </c>
      <c r="B39" s="76" t="str">
        <f>INDEX(Pipe[],MATCH(A39,Pipe[Nome],0),2)</f>
        <v>CV-7</v>
      </c>
      <c r="C39" s="77" t="str">
        <f>INDEX(Pipe[],MATCH(A39,Pipe[Nome],0),3)</f>
        <v>CV-10</v>
      </c>
      <c r="D39" s="84">
        <f>INDEX(CV[],MATCH(B39,CV[Nome],0),4)</f>
        <v>673.36500000000001</v>
      </c>
      <c r="E39" s="85">
        <f>INDEX(CV[],MATCH(C39,CV[Nome],0),4)</f>
        <v>670.59100000000001</v>
      </c>
      <c r="F39" s="92">
        <f>INDEX(Pipe[],MATCH(A39,Pipe[Nome],0),8)</f>
        <v>23.201000000000001</v>
      </c>
      <c r="G39" s="88">
        <v>18.84</v>
      </c>
      <c r="H39" s="67">
        <v>18.84</v>
      </c>
      <c r="I39" s="93">
        <f>Parametros!$B$19*F39/1000*N39/10</f>
        <v>4.0548043981481477E-3</v>
      </c>
      <c r="J39" s="157">
        <v>71.455997418481303</v>
      </c>
      <c r="K39" s="158">
        <v>71.455997418481303</v>
      </c>
      <c r="L39" s="106">
        <f>MAX(hidro_minimumDiameter(K39/1000,Parametros!$B$28,Parametros!$B$25,Parametros!$B$27,Parametros!$B$29),200)</f>
        <v>200</v>
      </c>
      <c r="M39" s="107">
        <f t="shared" si="34"/>
        <v>277.25868360275967</v>
      </c>
      <c r="N39" s="103">
        <v>302</v>
      </c>
      <c r="O39" s="116">
        <f t="shared" si="35"/>
        <v>0.11956381190465931</v>
      </c>
      <c r="P39" s="117" cm="1">
        <f t="array" ref="P39">hidro_slopeMinH(K39/1000,N39/1000,Parametros!$B$28,Parametros!$B$29)</f>
        <v>6.3643759889351189E-3</v>
      </c>
      <c r="Q39" s="117" cm="1">
        <f t="array" ref="Q39">hidro_slopeMinVELOCITY(J39/1000,N39/1000,Parametros!$B$26,Parametros!$B$29)</f>
        <v>6.1896587565505477E-3</v>
      </c>
      <c r="R39" s="117" cm="1">
        <f t="array" ref="R39">hidro_slopeMaxVELOCITY(K39/1000,N39/1000,Parametros!$B$27,Parametros!$B$29)</f>
        <v>0.32036627014053864</v>
      </c>
      <c r="S39" s="117">
        <f>MAX(P39,Q39,Parametros!$B$9)</f>
        <v>6.3643759889351189E-3</v>
      </c>
      <c r="T39" s="117">
        <f>MIN(R39,Parametros!$B$10)</f>
        <v>0.15</v>
      </c>
      <c r="U39" s="118">
        <v>0.01</v>
      </c>
      <c r="V39" s="125">
        <f t="shared" si="43"/>
        <v>8.1799584999999357</v>
      </c>
      <c r="W39" s="126">
        <f t="shared" si="36"/>
        <v>5.6379684999999347</v>
      </c>
      <c r="X39" s="133">
        <v>672</v>
      </c>
      <c r="Y39" s="134">
        <v>671.76800000000003</v>
      </c>
      <c r="Z39" s="6"/>
      <c r="AA39" s="141" cm="1">
        <f t="array" ref="AA39">hidro_findTheta(J39/1000,N39/1000,U39,Parametros!$B$14)</f>
        <v>3.0148319499388445</v>
      </c>
      <c r="AB39" s="142" cm="1">
        <f t="array" ref="AB39">hidro_findTheta(K39/1000,N39/1000,U39,Parametros!$B$14)</f>
        <v>3.0148319499388445</v>
      </c>
      <c r="AC39" s="141">
        <f t="shared" si="37"/>
        <v>0.45523962444076549</v>
      </c>
      <c r="AD39" s="142">
        <f t="shared" si="38"/>
        <v>0.45523962444076549</v>
      </c>
      <c r="AE39" s="125">
        <f t="shared" si="39"/>
        <v>0.46833103676337284</v>
      </c>
      <c r="AF39" s="126">
        <f t="shared" si="39"/>
        <v>0.46833103676337284</v>
      </c>
      <c r="AG39" s="125">
        <f t="shared" si="40"/>
        <v>2.169980744012276</v>
      </c>
      <c r="AH39" s="126">
        <f t="shared" si="41"/>
        <v>2.169980744012276</v>
      </c>
      <c r="AI39" s="125">
        <f t="shared" si="42"/>
        <v>44.613483195195023</v>
      </c>
      <c r="AJ39" s="126">
        <f t="shared" si="42"/>
        <v>44.613483195195023</v>
      </c>
    </row>
    <row r="40" spans="1:66" ht="15" thickBot="1" x14ac:dyDescent="0.35"/>
    <row r="41" spans="1:66" ht="15.6" x14ac:dyDescent="0.3">
      <c r="A41" s="145"/>
      <c r="B41" s="146"/>
      <c r="G41" s="3">
        <v>6.5181275059313648E-2</v>
      </c>
      <c r="H41" s="3">
        <v>0.10669470462715343</v>
      </c>
      <c r="J41"/>
      <c r="K41"/>
      <c r="AA41"/>
      <c r="AB41"/>
      <c r="AC41"/>
    </row>
    <row r="42" spans="1:66" ht="16.2" thickBot="1" x14ac:dyDescent="0.35">
      <c r="A42" s="147" t="s">
        <v>28</v>
      </c>
      <c r="B42" s="148" t="s">
        <v>106</v>
      </c>
      <c r="G42" s="3">
        <v>6.7433011170424759E-2</v>
      </c>
      <c r="H42" s="3">
        <v>0.10894644073826454</v>
      </c>
      <c r="J42"/>
      <c r="K42"/>
      <c r="AA42"/>
      <c r="AB42"/>
      <c r="AC42"/>
    </row>
    <row r="43" spans="1:66" ht="15.6" x14ac:dyDescent="0.3">
      <c r="G43" s="3">
        <v>9.0733044342298383E-2</v>
      </c>
      <c r="H43" s="3">
        <v>0.14885184573727406</v>
      </c>
      <c r="J43"/>
      <c r="K43"/>
      <c r="BN43" s="4"/>
    </row>
    <row r="44" spans="1:66" ht="15.6" x14ac:dyDescent="0.3">
      <c r="G44" s="3">
        <v>0.2288179958229046</v>
      </c>
      <c r="H44" s="3">
        <v>0.3727312183247492</v>
      </c>
      <c r="J44"/>
      <c r="K44"/>
    </row>
    <row r="45" spans="1:66" x14ac:dyDescent="0.3">
      <c r="G45" s="3">
        <v>0.23150329674883052</v>
      </c>
      <c r="H45" s="3">
        <v>0.37541651925067515</v>
      </c>
      <c r="BM45" s="12" t="s">
        <v>39</v>
      </c>
      <c r="BN45" s="12">
        <v>12028.298285199979</v>
      </c>
    </row>
    <row r="46" spans="1:66" x14ac:dyDescent="0.3">
      <c r="BM46" s="12" t="s">
        <v>40</v>
      </c>
      <c r="BN46" s="12">
        <v>13988.665646597339</v>
      </c>
    </row>
    <row r="47" spans="1:66" x14ac:dyDescent="0.3">
      <c r="BM47" s="12" t="s">
        <v>41</v>
      </c>
      <c r="BN47" s="12">
        <v>131.37</v>
      </c>
    </row>
  </sheetData>
  <mergeCells count="27">
    <mergeCell ref="AI4:AJ5"/>
    <mergeCell ref="A1:Y2"/>
    <mergeCell ref="AA1:AJ2"/>
    <mergeCell ref="A4:A6"/>
    <mergeCell ref="B4:C5"/>
    <mergeCell ref="D4:E5"/>
    <mergeCell ref="F4:F6"/>
    <mergeCell ref="G4:K5"/>
    <mergeCell ref="L4:N5"/>
    <mergeCell ref="O4:U5"/>
    <mergeCell ref="V4:W5"/>
    <mergeCell ref="X4:Y5"/>
    <mergeCell ref="AA4:AB5"/>
    <mergeCell ref="AC4:AD5"/>
    <mergeCell ref="AE4:AF5"/>
    <mergeCell ref="AG4:AH5"/>
    <mergeCell ref="AL4:AO5"/>
    <mergeCell ref="AP4:AQ5"/>
    <mergeCell ref="AR4:AW4"/>
    <mergeCell ref="AX4:AY5"/>
    <mergeCell ref="AZ4:BA5"/>
    <mergeCell ref="BD4:BE5"/>
    <mergeCell ref="BF4:BG5"/>
    <mergeCell ref="BH4:BI5"/>
    <mergeCell ref="AR5:AT5"/>
    <mergeCell ref="AU5:AW5"/>
    <mergeCell ref="BB4:BC5"/>
  </mergeCells>
  <conditionalFormatting sqref="AI7:AJ39">
    <cfRule type="cellIs" dxfId="10" priority="5" operator="lessThan">
      <formula>1</formula>
    </cfRule>
  </conditionalFormatting>
  <conditionalFormatting sqref="W7:W19 W21:W24 W26:W33 W35:W39">
    <cfRule type="cellIs" dxfId="9" priority="4" operator="lessThan">
      <formula>1</formula>
    </cfRule>
  </conditionalFormatting>
  <conditionalFormatting sqref="N7:N39">
    <cfRule type="cellIs" dxfId="8" priority="3" operator="lessThan">
      <formula>_xludf.máx($L$7,$M$7)</formula>
    </cfRule>
  </conditionalFormatting>
  <conditionalFormatting sqref="U7:U39">
    <cfRule type="cellIs" dxfId="7" priority="1" operator="notBetween">
      <formula>$S7</formula>
      <formula>$T7</formula>
    </cfRule>
  </conditionalFormatting>
  <conditionalFormatting sqref="AG7:AH19 AG35:AH39 AH34 AG26:AH33 AH25 AG21:AH24 AH20">
    <cfRule type="cellIs" dxfId="6" priority="6" operator="notBetween">
      <formula>0.5</formula>
      <formula>9</formula>
    </cfRule>
  </conditionalFormatting>
  <pageMargins left="0.7" right="0.7" top="0.75" bottom="0.75" header="0.3" footer="0.3"/>
  <pageSetup paperSize="9" scale="18" fitToHeight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FC26975-5482-426F-83AE-39E47B27C608}">
          <x14:formula1>
            <xm:f>Pipe_dados!$A$2:$A$100</xm:f>
          </x14:formula1>
          <xm:sqref>A7:A39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4150-E1EF-4A7B-B026-2B5585641691}">
  <sheetPr codeName="Planilha3"/>
  <dimension ref="A1:D52"/>
  <sheetViews>
    <sheetView workbookViewId="0">
      <selection activeCell="D8" sqref="D8"/>
    </sheetView>
  </sheetViews>
  <sheetFormatPr defaultRowHeight="15.6" x14ac:dyDescent="0.3"/>
  <cols>
    <col min="1" max="1" width="9.8984375" style="52" bestFit="1" customWidth="1"/>
    <col min="2" max="2" width="13.59765625" style="52" customWidth="1"/>
    <col min="3" max="3" width="18.69921875" style="52" customWidth="1"/>
    <col min="4" max="4" width="21.3984375" style="52" customWidth="1"/>
  </cols>
  <sheetData>
    <row r="1" spans="1:4" x14ac:dyDescent="0.3">
      <c r="A1" s="40" t="s">
        <v>63</v>
      </c>
      <c r="B1" s="40" t="s">
        <v>103</v>
      </c>
      <c r="C1" s="40" t="s">
        <v>104</v>
      </c>
      <c r="D1" s="40" t="s">
        <v>105</v>
      </c>
    </row>
    <row r="2" spans="1:4" x14ac:dyDescent="0.3">
      <c r="A2" s="52" t="s">
        <v>68</v>
      </c>
      <c r="B2" s="52">
        <v>220026.0637</v>
      </c>
      <c r="C2" s="52">
        <v>127611.5664</v>
      </c>
      <c r="D2" s="52">
        <v>679.63599999999997</v>
      </c>
    </row>
    <row r="3" spans="1:4" x14ac:dyDescent="0.3">
      <c r="A3" s="52" t="s">
        <v>69</v>
      </c>
      <c r="B3" s="52">
        <v>220066.60190000001</v>
      </c>
      <c r="C3" s="52">
        <v>127628.766</v>
      </c>
      <c r="D3" s="52">
        <v>679.06200000000001</v>
      </c>
    </row>
    <row r="4" spans="1:4" x14ac:dyDescent="0.3">
      <c r="A4" s="52" t="s">
        <v>70</v>
      </c>
      <c r="B4" s="52">
        <v>220086.72990000001</v>
      </c>
      <c r="C4" s="52">
        <v>127635.5284</v>
      </c>
      <c r="D4" s="52">
        <v>679.06600000000003</v>
      </c>
    </row>
    <row r="5" spans="1:4" x14ac:dyDescent="0.3">
      <c r="A5" s="52" t="s">
        <v>71</v>
      </c>
      <c r="B5" s="52">
        <v>220095.51980000001</v>
      </c>
      <c r="C5" s="52">
        <v>127637.52680000001</v>
      </c>
      <c r="D5" s="52">
        <v>679.18200000000002</v>
      </c>
    </row>
    <row r="6" spans="1:4" x14ac:dyDescent="0.3">
      <c r="A6" s="52" t="s">
        <v>72</v>
      </c>
      <c r="B6" s="52">
        <v>220095.71109999999</v>
      </c>
      <c r="C6" s="52">
        <v>127629.7334</v>
      </c>
      <c r="D6" s="52">
        <v>679.78499999999997</v>
      </c>
    </row>
    <row r="7" spans="1:4" x14ac:dyDescent="0.3">
      <c r="A7" s="52" t="s">
        <v>78</v>
      </c>
      <c r="B7" s="52">
        <v>220106.70860000001</v>
      </c>
      <c r="C7" s="52">
        <v>127652.1778</v>
      </c>
      <c r="D7" s="52">
        <v>677.95899999999995</v>
      </c>
    </row>
    <row r="8" spans="1:4" x14ac:dyDescent="0.3">
      <c r="A8" s="52" t="s">
        <v>80</v>
      </c>
      <c r="B8" s="52">
        <v>220121.86</v>
      </c>
      <c r="C8" s="52">
        <v>127678.5888</v>
      </c>
      <c r="D8" s="52">
        <v>673.36500000000001</v>
      </c>
    </row>
    <row r="9" spans="1:4" x14ac:dyDescent="0.3">
      <c r="A9" s="52" t="s">
        <v>82</v>
      </c>
      <c r="B9" s="52">
        <v>220127.36919999999</v>
      </c>
      <c r="C9" s="52">
        <v>127656.47659999999</v>
      </c>
      <c r="D9" s="52">
        <v>677.57899999999995</v>
      </c>
    </row>
    <row r="10" spans="1:4" x14ac:dyDescent="0.3">
      <c r="A10" s="52" t="s">
        <v>84</v>
      </c>
      <c r="B10" s="52">
        <v>220128.02420000001</v>
      </c>
      <c r="C10" s="52">
        <v>127625.5848</v>
      </c>
      <c r="D10" s="52">
        <v>681.9</v>
      </c>
    </row>
    <row r="11" spans="1:4" x14ac:dyDescent="0.3">
      <c r="A11" s="52" t="s">
        <v>85</v>
      </c>
      <c r="B11" s="52">
        <v>220129.6672</v>
      </c>
      <c r="C11" s="52">
        <v>127700.4369</v>
      </c>
      <c r="D11" s="52">
        <v>670.59100000000001</v>
      </c>
    </row>
    <row r="12" spans="1:4" x14ac:dyDescent="0.3">
      <c r="A12" s="52" t="s">
        <v>86</v>
      </c>
      <c r="B12" s="52">
        <v>220130.41709999999</v>
      </c>
      <c r="C12" s="52">
        <v>127640.2837</v>
      </c>
      <c r="D12" s="52">
        <v>679.64200000000005</v>
      </c>
    </row>
    <row r="13" spans="1:4" x14ac:dyDescent="0.3">
      <c r="A13" s="52" t="s">
        <v>87</v>
      </c>
      <c r="B13" s="52">
        <v>220135.89720000001</v>
      </c>
      <c r="C13" s="52">
        <v>127646.5646</v>
      </c>
      <c r="D13" s="52">
        <v>679.29600000000005</v>
      </c>
    </row>
    <row r="14" spans="1:4" x14ac:dyDescent="0.3">
      <c r="A14" s="52" t="s">
        <v>88</v>
      </c>
      <c r="B14" s="52">
        <v>220146.75510000001</v>
      </c>
      <c r="C14" s="52">
        <v>127658.11569999999</v>
      </c>
      <c r="D14" s="52">
        <v>677.10299999999995</v>
      </c>
    </row>
    <row r="15" spans="1:4" x14ac:dyDescent="0.3">
      <c r="A15" s="52" t="s">
        <v>89</v>
      </c>
      <c r="B15" s="52">
        <v>220154.45929999999</v>
      </c>
      <c r="C15" s="52">
        <v>127650.7194</v>
      </c>
      <c r="D15" s="52">
        <v>679.28700000000003</v>
      </c>
    </row>
    <row r="16" spans="1:4" x14ac:dyDescent="0.3">
      <c r="A16" s="52" t="s">
        <v>90</v>
      </c>
      <c r="B16" s="52">
        <v>220164.5741</v>
      </c>
      <c r="C16" s="52">
        <v>127637.3884</v>
      </c>
      <c r="D16" s="52">
        <v>681.80499999999995</v>
      </c>
    </row>
    <row r="17" spans="1:4" x14ac:dyDescent="0.3">
      <c r="A17" s="52" t="s">
        <v>91</v>
      </c>
      <c r="B17" s="52">
        <v>220164.96189999999</v>
      </c>
      <c r="C17" s="52">
        <v>127675.31389999999</v>
      </c>
      <c r="D17" s="52">
        <v>675.91499999999996</v>
      </c>
    </row>
    <row r="18" spans="1:4" x14ac:dyDescent="0.3">
      <c r="A18" s="52" t="s">
        <v>92</v>
      </c>
      <c r="B18" s="52">
        <v>220168.18410000001</v>
      </c>
      <c r="C18" s="52">
        <v>127653.6624</v>
      </c>
      <c r="D18" s="52">
        <v>678.92700000000002</v>
      </c>
    </row>
    <row r="19" spans="1:4" x14ac:dyDescent="0.3">
      <c r="A19" s="52" t="s">
        <v>93</v>
      </c>
      <c r="B19" s="52">
        <v>220208.5313</v>
      </c>
      <c r="C19" s="52">
        <v>127648.4859</v>
      </c>
      <c r="D19" s="52">
        <v>679.84900000000005</v>
      </c>
    </row>
    <row r="20" spans="1:4" x14ac:dyDescent="0.3">
      <c r="A20" s="52" t="s">
        <v>94</v>
      </c>
      <c r="B20" s="52">
        <v>220212.4155</v>
      </c>
      <c r="C20" s="52">
        <v>127663.14690000001</v>
      </c>
      <c r="D20" s="52">
        <v>678.173</v>
      </c>
    </row>
    <row r="21" spans="1:4" x14ac:dyDescent="0.3">
      <c r="A21" s="52" t="s">
        <v>115</v>
      </c>
      <c r="B21" s="52">
        <v>220220.34719999999</v>
      </c>
      <c r="C21" s="52">
        <v>127676.6437</v>
      </c>
      <c r="D21" s="52">
        <v>677.15700000000004</v>
      </c>
    </row>
    <row r="22" spans="1:4" x14ac:dyDescent="0.3">
      <c r="A22" s="53" t="s">
        <v>167</v>
      </c>
      <c r="B22" s="53">
        <v>220222.33660000001</v>
      </c>
      <c r="C22" s="53">
        <v>127655.93640000001</v>
      </c>
      <c r="D22" s="53">
        <v>678.88599999999997</v>
      </c>
    </row>
    <row r="23" spans="1:4" x14ac:dyDescent="0.3">
      <c r="A23" s="53" t="s">
        <v>128</v>
      </c>
      <c r="B23" s="53">
        <v>220223.1495</v>
      </c>
      <c r="C23" s="53">
        <v>127664.87790000001</v>
      </c>
      <c r="D23" s="53">
        <v>677.70299999999997</v>
      </c>
    </row>
    <row r="24" spans="1:4" x14ac:dyDescent="0.3">
      <c r="A24" s="53" t="s">
        <v>166</v>
      </c>
      <c r="B24" s="53">
        <v>220232.73430000001</v>
      </c>
      <c r="C24" s="53">
        <v>127647.2559</v>
      </c>
      <c r="D24" s="53">
        <v>680.18399999999997</v>
      </c>
    </row>
    <row r="25" spans="1:4" x14ac:dyDescent="0.3">
      <c r="A25" s="53" t="s">
        <v>130</v>
      </c>
      <c r="B25" s="53">
        <v>220242.73579999999</v>
      </c>
      <c r="C25" s="53">
        <v>127665.03750000001</v>
      </c>
      <c r="D25" s="53">
        <v>676.57399999999996</v>
      </c>
    </row>
    <row r="26" spans="1:4" x14ac:dyDescent="0.3">
      <c r="A26" s="53" t="s">
        <v>170</v>
      </c>
      <c r="B26" s="53">
        <v>220264.91029999999</v>
      </c>
      <c r="C26" s="53">
        <v>127672.61440000001</v>
      </c>
      <c r="D26" s="53">
        <v>675.77099999999996</v>
      </c>
    </row>
    <row r="27" spans="1:4" x14ac:dyDescent="0.3">
      <c r="A27" s="53" t="s">
        <v>132</v>
      </c>
      <c r="B27" s="53">
        <v>220266.44949999999</v>
      </c>
      <c r="C27" s="53">
        <v>127661.9903</v>
      </c>
      <c r="D27" s="53">
        <v>675.12</v>
      </c>
    </row>
    <row r="28" spans="1:4" x14ac:dyDescent="0.3">
      <c r="A28" s="53" t="s">
        <v>134</v>
      </c>
      <c r="B28" s="53">
        <v>220294.05489999999</v>
      </c>
      <c r="C28" s="53">
        <v>127658.4431</v>
      </c>
      <c r="D28" s="53">
        <v>673.43600000000004</v>
      </c>
    </row>
    <row r="29" spans="1:4" x14ac:dyDescent="0.3">
      <c r="A29" s="53" t="s">
        <v>172</v>
      </c>
      <c r="B29" s="53">
        <v>220298.51449999999</v>
      </c>
      <c r="C29" s="53">
        <v>127681.24099999999</v>
      </c>
      <c r="D29" s="53">
        <v>671.09699999999998</v>
      </c>
    </row>
    <row r="30" spans="1:4" x14ac:dyDescent="0.3">
      <c r="A30" s="53" t="s">
        <v>136</v>
      </c>
      <c r="B30" s="53">
        <v>220313.95980000001</v>
      </c>
      <c r="C30" s="53">
        <v>127656.3898</v>
      </c>
      <c r="D30" s="53">
        <v>672.44</v>
      </c>
    </row>
    <row r="31" spans="1:4" x14ac:dyDescent="0.3">
      <c r="A31" s="53" t="s">
        <v>138</v>
      </c>
      <c r="B31" s="53">
        <v>220324.28400000001</v>
      </c>
      <c r="C31" s="53">
        <v>127655.33560000001</v>
      </c>
      <c r="D31" s="53">
        <v>672.18299999999999</v>
      </c>
    </row>
    <row r="32" spans="1:4" x14ac:dyDescent="0.3">
      <c r="A32" s="53" t="s">
        <v>174</v>
      </c>
      <c r="B32" s="53">
        <v>220342.72839999999</v>
      </c>
      <c r="C32" s="53">
        <v>127667.787</v>
      </c>
      <c r="D32" s="53">
        <v>671.94100000000003</v>
      </c>
    </row>
    <row r="33" spans="1:4" x14ac:dyDescent="0.3">
      <c r="A33" s="53" t="s">
        <v>142</v>
      </c>
      <c r="B33" s="53">
        <v>220343.17069999999</v>
      </c>
      <c r="C33" s="53">
        <v>127653.4071</v>
      </c>
      <c r="D33" s="53">
        <v>672.79700000000003</v>
      </c>
    </row>
    <row r="34" spans="1:4" x14ac:dyDescent="0.3">
      <c r="A34" s="53" t="s">
        <v>176</v>
      </c>
      <c r="B34" s="53">
        <v>220348.32560000001</v>
      </c>
      <c r="C34" s="53">
        <v>127641.1539</v>
      </c>
      <c r="D34" s="53">
        <v>674.28700000000003</v>
      </c>
    </row>
    <row r="35" spans="1:4" x14ac:dyDescent="0.3">
      <c r="A35" s="53" t="s">
        <v>141</v>
      </c>
      <c r="B35" s="53">
        <v>220351.79399999999</v>
      </c>
      <c r="C35" s="53">
        <v>127652.52650000001</v>
      </c>
      <c r="D35" s="53">
        <v>673.55499999999995</v>
      </c>
    </row>
    <row r="36" spans="1:4" x14ac:dyDescent="0.3">
      <c r="A36" s="53" t="s">
        <v>178</v>
      </c>
      <c r="B36" s="53">
        <v>220366.5068</v>
      </c>
      <c r="C36" s="53">
        <v>127637.2401</v>
      </c>
      <c r="D36" s="53">
        <v>676.476</v>
      </c>
    </row>
    <row r="37" spans="1:4" x14ac:dyDescent="0.3">
      <c r="A37" s="53" t="s">
        <v>139</v>
      </c>
      <c r="B37" s="53">
        <v>220379.6575</v>
      </c>
      <c r="C37" s="53">
        <v>127648.531</v>
      </c>
      <c r="D37" s="53">
        <v>675.48</v>
      </c>
    </row>
    <row r="38" spans="1:4" x14ac:dyDescent="0.3">
      <c r="A38" s="53" t="s">
        <v>180</v>
      </c>
      <c r="B38" s="53">
        <v>220405.67730000001</v>
      </c>
      <c r="C38" s="53">
        <v>127634.6534</v>
      </c>
      <c r="D38" s="53">
        <v>677.23299999999995</v>
      </c>
    </row>
    <row r="39" spans="1:4" x14ac:dyDescent="0.3">
      <c r="A39" s="53" t="s">
        <v>182</v>
      </c>
      <c r="B39" s="53">
        <v>220405.72159999999</v>
      </c>
      <c r="C39" s="53">
        <v>127659.8998</v>
      </c>
      <c r="D39" s="53">
        <v>675.61699999999996</v>
      </c>
    </row>
    <row r="40" spans="1:4" x14ac:dyDescent="0.3">
      <c r="A40" s="53" t="s">
        <v>140</v>
      </c>
      <c r="B40" s="53">
        <v>220406.7426</v>
      </c>
      <c r="C40" s="53">
        <v>127648.8977</v>
      </c>
      <c r="D40" s="53">
        <v>676.19100000000003</v>
      </c>
    </row>
    <row r="41" spans="1:4" x14ac:dyDescent="0.3">
      <c r="A41" s="53" t="s">
        <v>144</v>
      </c>
      <c r="B41" s="53">
        <v>220416.163</v>
      </c>
      <c r="C41" s="53">
        <v>127649.22349999999</v>
      </c>
      <c r="D41" s="53">
        <v>676.23900000000003</v>
      </c>
    </row>
    <row r="42" spans="1:4" x14ac:dyDescent="0.3">
      <c r="A42" s="53" t="s">
        <v>145</v>
      </c>
      <c r="B42" s="53">
        <v>220463.7537</v>
      </c>
      <c r="C42" s="53">
        <v>127647.4118</v>
      </c>
      <c r="D42" s="53">
        <v>674.11199999999997</v>
      </c>
    </row>
    <row r="43" spans="1:4" x14ac:dyDescent="0.3">
      <c r="A43" s="53" t="s">
        <v>184</v>
      </c>
      <c r="B43" s="53">
        <v>220472.91769999999</v>
      </c>
      <c r="C43" s="53">
        <v>127625.9425</v>
      </c>
      <c r="D43" s="53">
        <v>676.26599999999996</v>
      </c>
    </row>
    <row r="44" spans="1:4" x14ac:dyDescent="0.3">
      <c r="A44" s="53" t="s">
        <v>146</v>
      </c>
      <c r="B44" s="53">
        <v>220481.55379999999</v>
      </c>
      <c r="C44" s="53">
        <v>127646.685</v>
      </c>
      <c r="D44" s="53">
        <v>673.14</v>
      </c>
    </row>
    <row r="45" spans="1:4" x14ac:dyDescent="0.3">
      <c r="A45" s="53" t="s">
        <v>147</v>
      </c>
      <c r="B45" s="53">
        <v>220494.76920000001</v>
      </c>
      <c r="C45" s="53">
        <v>127647.5708</v>
      </c>
      <c r="D45" s="53">
        <v>672.38800000000003</v>
      </c>
    </row>
    <row r="46" spans="1:4" x14ac:dyDescent="0.3">
      <c r="A46" s="53" t="s">
        <v>186</v>
      </c>
      <c r="B46" s="53">
        <v>220502.40090000001</v>
      </c>
      <c r="C46" s="53">
        <v>127670.72629999999</v>
      </c>
      <c r="D46" s="53">
        <v>671.08600000000001</v>
      </c>
    </row>
    <row r="47" spans="1:4" x14ac:dyDescent="0.3">
      <c r="A47" s="53" t="s">
        <v>148</v>
      </c>
      <c r="B47" s="53">
        <v>220517.8309</v>
      </c>
      <c r="C47" s="53">
        <v>127653.5591</v>
      </c>
      <c r="D47" s="53">
        <v>671.31500000000005</v>
      </c>
    </row>
    <row r="48" spans="1:4" x14ac:dyDescent="0.3">
      <c r="A48" s="53" t="s">
        <v>188</v>
      </c>
      <c r="B48" s="53">
        <v>220527.7372</v>
      </c>
      <c r="C48" s="53">
        <v>127644.5211</v>
      </c>
      <c r="D48" s="53">
        <v>672.15599999999995</v>
      </c>
    </row>
    <row r="49" spans="1:4" x14ac:dyDescent="0.3">
      <c r="A49" s="53" t="s">
        <v>149</v>
      </c>
      <c r="B49" s="53">
        <v>220534.56709999999</v>
      </c>
      <c r="C49" s="53">
        <v>127657.905</v>
      </c>
      <c r="D49" s="53">
        <v>670.75800000000004</v>
      </c>
    </row>
    <row r="50" spans="1:4" x14ac:dyDescent="0.3">
      <c r="A50" s="53" t="s">
        <v>150</v>
      </c>
      <c r="B50" s="53">
        <v>220571.34</v>
      </c>
      <c r="C50" s="53">
        <v>127664.3941</v>
      </c>
      <c r="D50" s="53">
        <v>669.65200000000004</v>
      </c>
    </row>
    <row r="51" spans="1:4" x14ac:dyDescent="0.3">
      <c r="A51" s="53" t="s">
        <v>151</v>
      </c>
      <c r="B51" s="53">
        <v>220596.16949999999</v>
      </c>
      <c r="C51" s="53">
        <v>127666.12</v>
      </c>
      <c r="D51" s="53">
        <v>669.11800000000005</v>
      </c>
    </row>
    <row r="52" spans="1:4" x14ac:dyDescent="0.3">
      <c r="A52" s="53" t="s">
        <v>153</v>
      </c>
      <c r="B52" s="53">
        <v>220614.05619999999</v>
      </c>
      <c r="C52" s="53">
        <v>127666.04580000001</v>
      </c>
      <c r="D52" s="53">
        <v>668.94600000000003</v>
      </c>
    </row>
  </sheetData>
  <phoneticPr fontId="1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276C5-209F-460D-BC5D-EAF02E6B58EE}">
  <sheetPr codeName="Planilha4"/>
  <dimension ref="A1:M49"/>
  <sheetViews>
    <sheetView workbookViewId="0">
      <selection activeCell="G2" sqref="G2:G14"/>
    </sheetView>
  </sheetViews>
  <sheetFormatPr defaultRowHeight="15.6" x14ac:dyDescent="0.3"/>
  <cols>
    <col min="2" max="2" width="8.09765625" bestFit="1" customWidth="1"/>
    <col min="3" max="3" width="9.19921875" bestFit="1" customWidth="1"/>
    <col min="4" max="4" width="6.19921875" customWidth="1"/>
    <col min="5" max="5" width="9.3984375" bestFit="1" customWidth="1"/>
    <col min="6" max="6" width="10.5" bestFit="1" customWidth="1"/>
    <col min="7" max="7" width="7.59765625" customWidth="1"/>
    <col min="8" max="8" width="9.8984375" customWidth="1"/>
    <col min="9" max="9" width="8.5" customWidth="1"/>
    <col min="10" max="10" width="17.796875" customWidth="1"/>
    <col min="11" max="11" width="17.19921875" customWidth="1"/>
    <col min="12" max="12" width="10.796875" customWidth="1"/>
    <col min="13" max="13" width="9.796875" customWidth="1"/>
  </cols>
  <sheetData>
    <row r="1" spans="1:13" x14ac:dyDescent="0.3">
      <c r="A1" t="s">
        <v>63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73</v>
      </c>
      <c r="K1" t="s">
        <v>74</v>
      </c>
      <c r="L1" t="s">
        <v>75</v>
      </c>
      <c r="M1" t="s">
        <v>76</v>
      </c>
    </row>
    <row r="2" spans="1:13" x14ac:dyDescent="0.3">
      <c r="A2" t="s">
        <v>64</v>
      </c>
      <c r="B2" t="s">
        <v>68</v>
      </c>
      <c r="C2" t="s">
        <v>69</v>
      </c>
      <c r="D2">
        <v>0.2</v>
      </c>
      <c r="E2">
        <v>678.43600000000004</v>
      </c>
      <c r="F2">
        <v>677.54600000000005</v>
      </c>
      <c r="G2" s="39">
        <v>-2.0199999999999999E-2</v>
      </c>
      <c r="H2">
        <v>44.036000000000001</v>
      </c>
      <c r="I2">
        <v>44.045000000000002</v>
      </c>
      <c r="J2">
        <v>1.089</v>
      </c>
      <c r="K2">
        <v>1.5089999999999999</v>
      </c>
      <c r="L2">
        <v>1.1930000000000001</v>
      </c>
      <c r="M2">
        <v>1.5089999999999999</v>
      </c>
    </row>
    <row r="3" spans="1:13" x14ac:dyDescent="0.3">
      <c r="A3" t="s">
        <v>65</v>
      </c>
      <c r="B3" t="s">
        <v>69</v>
      </c>
      <c r="C3" t="s">
        <v>70</v>
      </c>
      <c r="D3">
        <v>0.2</v>
      </c>
      <c r="E3">
        <v>677.31299999999999</v>
      </c>
      <c r="F3">
        <v>676.952</v>
      </c>
      <c r="G3" s="39">
        <v>-1.7000000000000001E-2</v>
      </c>
      <c r="H3">
        <v>21.234000000000002</v>
      </c>
      <c r="I3">
        <v>21.236999999999998</v>
      </c>
      <c r="J3">
        <v>1.742</v>
      </c>
      <c r="K3">
        <v>2.1070000000000002</v>
      </c>
      <c r="L3">
        <v>1.742</v>
      </c>
      <c r="M3">
        <v>2.1070000000000002</v>
      </c>
    </row>
    <row r="4" spans="1:13" x14ac:dyDescent="0.3">
      <c r="A4" t="s">
        <v>66</v>
      </c>
      <c r="B4" t="s">
        <v>70</v>
      </c>
      <c r="C4" t="s">
        <v>71</v>
      </c>
      <c r="D4">
        <v>0.2</v>
      </c>
      <c r="E4">
        <v>676.952</v>
      </c>
      <c r="F4">
        <v>676.84400000000005</v>
      </c>
      <c r="G4" s="39">
        <v>-1.2E-2</v>
      </c>
      <c r="H4">
        <v>9.0139999999999993</v>
      </c>
      <c r="I4">
        <v>9.0150000000000006</v>
      </c>
      <c r="J4">
        <v>2.1070000000000002</v>
      </c>
      <c r="K4">
        <v>2.331</v>
      </c>
      <c r="L4">
        <v>2.1070000000000002</v>
      </c>
      <c r="M4">
        <v>2.331</v>
      </c>
    </row>
    <row r="5" spans="1:13" x14ac:dyDescent="0.3">
      <c r="A5" t="s">
        <v>67</v>
      </c>
      <c r="B5" t="s">
        <v>71</v>
      </c>
      <c r="C5" t="s">
        <v>87</v>
      </c>
      <c r="D5">
        <v>0.2</v>
      </c>
      <c r="E5">
        <v>676.63300000000004</v>
      </c>
      <c r="F5">
        <v>676.41499999999996</v>
      </c>
      <c r="G5" s="39">
        <v>-5.3E-3</v>
      </c>
      <c r="H5">
        <v>41.375999999999998</v>
      </c>
      <c r="I5">
        <v>41.377000000000002</v>
      </c>
      <c r="J5">
        <v>2.5419999999999998</v>
      </c>
      <c r="K5">
        <v>2.923</v>
      </c>
      <c r="L5">
        <v>2.5419999999999998</v>
      </c>
      <c r="M5">
        <v>2.8740000000000001</v>
      </c>
    </row>
    <row r="6" spans="1:13" x14ac:dyDescent="0.3">
      <c r="A6" t="s">
        <v>77</v>
      </c>
      <c r="B6" t="s">
        <v>87</v>
      </c>
      <c r="C6" t="s">
        <v>89</v>
      </c>
      <c r="D6">
        <v>0.2</v>
      </c>
      <c r="E6">
        <v>676.41499999999996</v>
      </c>
      <c r="F6">
        <v>676.26099999999997</v>
      </c>
      <c r="G6" s="39">
        <v>-8.0999999999999996E-3</v>
      </c>
      <c r="H6">
        <v>19.021000000000001</v>
      </c>
      <c r="I6">
        <v>19.021999999999998</v>
      </c>
      <c r="J6">
        <v>2.8580000000000001</v>
      </c>
      <c r="K6">
        <v>3.0350000000000001</v>
      </c>
      <c r="L6">
        <v>2.8740000000000001</v>
      </c>
      <c r="M6">
        <v>3.0190000000000001</v>
      </c>
    </row>
    <row r="7" spans="1:13" x14ac:dyDescent="0.3">
      <c r="A7" t="s">
        <v>79</v>
      </c>
      <c r="B7" t="s">
        <v>89</v>
      </c>
      <c r="C7" t="s">
        <v>92</v>
      </c>
      <c r="D7">
        <v>0.2</v>
      </c>
      <c r="E7">
        <v>676.26099999999997</v>
      </c>
      <c r="F7">
        <v>676.19</v>
      </c>
      <c r="G7" s="39">
        <v>-5.1000000000000004E-3</v>
      </c>
      <c r="H7">
        <v>14.037000000000001</v>
      </c>
      <c r="I7">
        <v>14.037000000000001</v>
      </c>
      <c r="J7">
        <v>2.7170000000000001</v>
      </c>
      <c r="K7">
        <v>3.0190000000000001</v>
      </c>
      <c r="L7">
        <v>3.0190000000000001</v>
      </c>
      <c r="M7">
        <v>2.73</v>
      </c>
    </row>
    <row r="8" spans="1:13" x14ac:dyDescent="0.3">
      <c r="A8" t="s">
        <v>81</v>
      </c>
      <c r="B8" t="s">
        <v>92</v>
      </c>
      <c r="C8" t="s">
        <v>94</v>
      </c>
      <c r="D8">
        <v>0.2</v>
      </c>
      <c r="E8">
        <v>676.19</v>
      </c>
      <c r="F8">
        <v>675.95899999999995</v>
      </c>
      <c r="G8" s="39">
        <v>-5.1000000000000004E-3</v>
      </c>
      <c r="H8">
        <v>45.237000000000002</v>
      </c>
      <c r="I8">
        <v>45.237000000000002</v>
      </c>
      <c r="J8">
        <v>2.2069999999999999</v>
      </c>
      <c r="K8">
        <v>2.734</v>
      </c>
      <c r="L8">
        <v>2.73</v>
      </c>
      <c r="M8">
        <v>2.2069999999999999</v>
      </c>
    </row>
    <row r="9" spans="1:13" x14ac:dyDescent="0.3">
      <c r="A9" t="s">
        <v>83</v>
      </c>
      <c r="B9" t="s">
        <v>94</v>
      </c>
      <c r="C9" t="s">
        <v>128</v>
      </c>
      <c r="D9">
        <v>0.2</v>
      </c>
      <c r="E9">
        <v>675.95899999999995</v>
      </c>
      <c r="F9">
        <v>675.91800000000001</v>
      </c>
      <c r="G9" s="39">
        <v>-3.8E-3</v>
      </c>
      <c r="H9">
        <v>10.872999999999999</v>
      </c>
      <c r="I9">
        <v>10.872999999999999</v>
      </c>
      <c r="J9">
        <v>1.778</v>
      </c>
      <c r="K9">
        <v>2.2069999999999999</v>
      </c>
      <c r="L9">
        <v>2.2069999999999999</v>
      </c>
      <c r="M9">
        <v>1.778</v>
      </c>
    </row>
    <row r="10" spans="1:13" x14ac:dyDescent="0.3">
      <c r="A10" t="s">
        <v>129</v>
      </c>
      <c r="B10" t="s">
        <v>128</v>
      </c>
      <c r="C10" t="s">
        <v>130</v>
      </c>
      <c r="D10">
        <v>0.2</v>
      </c>
      <c r="E10">
        <v>675.91800000000001</v>
      </c>
      <c r="F10">
        <v>675.36</v>
      </c>
      <c r="G10" s="39">
        <v>-2.8500000000000001E-2</v>
      </c>
      <c r="H10">
        <v>19.587</v>
      </c>
      <c r="I10">
        <v>19.594999999999999</v>
      </c>
      <c r="J10">
        <v>1.2070000000000001</v>
      </c>
      <c r="K10">
        <v>1.78</v>
      </c>
      <c r="L10">
        <v>1.778</v>
      </c>
      <c r="M10">
        <v>1.2070000000000001</v>
      </c>
    </row>
    <row r="11" spans="1:13" x14ac:dyDescent="0.3">
      <c r="A11" t="s">
        <v>131</v>
      </c>
      <c r="B11" t="s">
        <v>130</v>
      </c>
      <c r="C11" t="s">
        <v>132</v>
      </c>
      <c r="D11">
        <v>0.2</v>
      </c>
      <c r="E11">
        <v>675.36</v>
      </c>
      <c r="F11">
        <v>673.91099999999994</v>
      </c>
      <c r="G11" s="39">
        <v>-6.0600000000000001E-2</v>
      </c>
      <c r="H11">
        <v>23.908999999999999</v>
      </c>
      <c r="I11">
        <v>23.952999999999999</v>
      </c>
      <c r="J11">
        <v>1.1599999999999999</v>
      </c>
      <c r="K11">
        <v>1.482</v>
      </c>
      <c r="L11">
        <v>1.2070000000000001</v>
      </c>
      <c r="M11">
        <v>1.202</v>
      </c>
    </row>
    <row r="12" spans="1:13" x14ac:dyDescent="0.3">
      <c r="A12" t="s">
        <v>133</v>
      </c>
      <c r="B12" t="s">
        <v>132</v>
      </c>
      <c r="C12" t="s">
        <v>134</v>
      </c>
      <c r="D12">
        <v>0.2</v>
      </c>
      <c r="E12">
        <v>673.91099999999994</v>
      </c>
      <c r="F12">
        <v>672.17600000000004</v>
      </c>
      <c r="G12" s="39">
        <v>-6.2300000000000001E-2</v>
      </c>
      <c r="H12">
        <v>27.832000000000001</v>
      </c>
      <c r="I12">
        <v>27.885999999999999</v>
      </c>
      <c r="J12">
        <v>1.1180000000000001</v>
      </c>
      <c r="K12">
        <v>1.202</v>
      </c>
      <c r="L12">
        <v>1.202</v>
      </c>
      <c r="M12">
        <v>1.1579999999999999</v>
      </c>
    </row>
    <row r="13" spans="1:13" x14ac:dyDescent="0.3">
      <c r="A13" t="s">
        <v>135</v>
      </c>
      <c r="B13" t="s">
        <v>134</v>
      </c>
      <c r="C13" t="s">
        <v>136</v>
      </c>
      <c r="D13">
        <v>0.2</v>
      </c>
      <c r="E13">
        <v>672.17600000000004</v>
      </c>
      <c r="F13">
        <v>671.39200000000005</v>
      </c>
      <c r="G13" s="39">
        <v>-3.9199999999999999E-2</v>
      </c>
      <c r="H13">
        <v>20.010999999999999</v>
      </c>
      <c r="I13">
        <v>20.026</v>
      </c>
      <c r="J13">
        <v>1.02</v>
      </c>
      <c r="K13">
        <v>1.1579999999999999</v>
      </c>
      <c r="L13">
        <v>1.1579999999999999</v>
      </c>
      <c r="M13">
        <v>1.0409999999999999</v>
      </c>
    </row>
    <row r="14" spans="1:13" x14ac:dyDescent="0.3">
      <c r="A14" t="s">
        <v>137</v>
      </c>
      <c r="B14" t="s">
        <v>136</v>
      </c>
      <c r="C14" t="s">
        <v>138</v>
      </c>
      <c r="D14">
        <v>0.2</v>
      </c>
      <c r="E14">
        <v>671.39200000000005</v>
      </c>
      <c r="F14">
        <v>670.96900000000005</v>
      </c>
      <c r="G14" s="39">
        <v>-4.0800000000000003E-2</v>
      </c>
      <c r="H14">
        <v>10.378</v>
      </c>
      <c r="I14">
        <v>10.385999999999999</v>
      </c>
      <c r="J14">
        <v>1.0289999999999999</v>
      </c>
      <c r="K14">
        <v>1.2070000000000001</v>
      </c>
      <c r="L14">
        <v>1.0409999999999999</v>
      </c>
      <c r="M14">
        <v>1.2070000000000001</v>
      </c>
    </row>
    <row r="15" spans="1:13" x14ac:dyDescent="0.3">
      <c r="A15" t="s">
        <v>118</v>
      </c>
      <c r="B15" t="s">
        <v>139</v>
      </c>
      <c r="C15" t="s">
        <v>140</v>
      </c>
      <c r="D15">
        <v>0.2</v>
      </c>
      <c r="E15">
        <v>674.303</v>
      </c>
      <c r="F15">
        <v>674.99099999999999</v>
      </c>
      <c r="G15" s="39">
        <v>2.5399999999999999E-2</v>
      </c>
      <c r="H15">
        <v>27.088000000000001</v>
      </c>
      <c r="I15">
        <v>27.096</v>
      </c>
      <c r="J15">
        <v>1.1930000000000001</v>
      </c>
      <c r="K15">
        <v>1.4410000000000001</v>
      </c>
      <c r="L15">
        <v>1.224</v>
      </c>
      <c r="M15">
        <v>1.1930000000000001</v>
      </c>
    </row>
    <row r="16" spans="1:13" x14ac:dyDescent="0.3">
      <c r="A16" t="s">
        <v>117</v>
      </c>
      <c r="B16" t="s">
        <v>141</v>
      </c>
      <c r="C16" t="s">
        <v>139</v>
      </c>
      <c r="D16">
        <v>0.2</v>
      </c>
      <c r="E16">
        <v>672.33399999999995</v>
      </c>
      <c r="F16">
        <v>672.96100000000001</v>
      </c>
      <c r="G16" s="39">
        <v>2.23E-2</v>
      </c>
      <c r="H16">
        <v>28.149000000000001</v>
      </c>
      <c r="I16">
        <v>28.155000000000001</v>
      </c>
      <c r="J16">
        <v>1.1479999999999999</v>
      </c>
      <c r="K16">
        <v>2.5659999999999998</v>
      </c>
      <c r="L16">
        <v>1.214</v>
      </c>
      <c r="M16">
        <v>2.5659999999999998</v>
      </c>
    </row>
    <row r="17" spans="1:13" x14ac:dyDescent="0.3">
      <c r="A17" t="s">
        <v>116</v>
      </c>
      <c r="B17" t="s">
        <v>142</v>
      </c>
      <c r="C17" t="s">
        <v>141</v>
      </c>
      <c r="D17">
        <v>0.2</v>
      </c>
      <c r="E17">
        <v>671.75900000000001</v>
      </c>
      <c r="F17">
        <v>672.33399999999995</v>
      </c>
      <c r="G17" s="39">
        <v>6.6400000000000001E-2</v>
      </c>
      <c r="H17">
        <v>8.6679999999999993</v>
      </c>
      <c r="I17">
        <v>8.6869999999999994</v>
      </c>
      <c r="J17">
        <v>1.026</v>
      </c>
      <c r="K17">
        <v>1.214</v>
      </c>
      <c r="L17">
        <v>1.0309999999999999</v>
      </c>
      <c r="M17">
        <v>1.214</v>
      </c>
    </row>
    <row r="18" spans="1:13" x14ac:dyDescent="0.3">
      <c r="A18" t="s">
        <v>143</v>
      </c>
      <c r="B18" t="s">
        <v>138</v>
      </c>
      <c r="C18" t="s">
        <v>142</v>
      </c>
      <c r="D18">
        <v>0.2</v>
      </c>
      <c r="E18">
        <v>670.49800000000005</v>
      </c>
      <c r="F18">
        <v>671.75900000000001</v>
      </c>
      <c r="G18" s="39">
        <v>6.6400000000000001E-2</v>
      </c>
      <c r="H18">
        <v>18.984999999999999</v>
      </c>
      <c r="I18">
        <v>19.027000000000001</v>
      </c>
      <c r="J18">
        <v>1.0309999999999999</v>
      </c>
      <c r="K18">
        <v>1.6779999999999999</v>
      </c>
      <c r="L18">
        <v>1.6779999999999999</v>
      </c>
      <c r="M18">
        <v>1.0309999999999999</v>
      </c>
    </row>
    <row r="19" spans="1:13" x14ac:dyDescent="0.3">
      <c r="A19" t="s">
        <v>108</v>
      </c>
      <c r="B19" t="s">
        <v>144</v>
      </c>
      <c r="C19" t="s">
        <v>145</v>
      </c>
      <c r="D19">
        <v>0.2</v>
      </c>
      <c r="E19">
        <v>675.13900000000001</v>
      </c>
      <c r="F19">
        <v>673.01</v>
      </c>
      <c r="G19" s="39">
        <v>-4.4699999999999997E-2</v>
      </c>
      <c r="H19">
        <v>47.625</v>
      </c>
      <c r="I19">
        <v>47.673000000000002</v>
      </c>
      <c r="J19">
        <v>1.093</v>
      </c>
      <c r="K19">
        <v>1.3340000000000001</v>
      </c>
      <c r="L19">
        <v>1.093</v>
      </c>
      <c r="M19">
        <v>1.095</v>
      </c>
    </row>
    <row r="20" spans="1:13" x14ac:dyDescent="0.3">
      <c r="A20" t="s">
        <v>109</v>
      </c>
      <c r="B20" t="s">
        <v>145</v>
      </c>
      <c r="C20" t="s">
        <v>146</v>
      </c>
      <c r="D20">
        <v>0.2</v>
      </c>
      <c r="E20">
        <v>673.01</v>
      </c>
      <c r="F20">
        <v>672.03599999999994</v>
      </c>
      <c r="G20">
        <v>-5.4699999999999999E-2</v>
      </c>
      <c r="H20">
        <v>17.815000000000001</v>
      </c>
      <c r="I20">
        <v>17.841999999999999</v>
      </c>
      <c r="J20">
        <v>1.01</v>
      </c>
      <c r="K20">
        <v>1.125</v>
      </c>
      <c r="L20">
        <v>1.095</v>
      </c>
      <c r="M20">
        <v>1.097</v>
      </c>
    </row>
    <row r="21" spans="1:13" x14ac:dyDescent="0.3">
      <c r="A21" t="s">
        <v>110</v>
      </c>
      <c r="B21" t="s">
        <v>146</v>
      </c>
      <c r="C21" t="s">
        <v>147</v>
      </c>
      <c r="D21">
        <v>0.2</v>
      </c>
      <c r="E21">
        <v>672.03599999999994</v>
      </c>
      <c r="F21">
        <v>671.28300000000002</v>
      </c>
      <c r="G21">
        <v>-5.6899999999999999E-2</v>
      </c>
      <c r="H21">
        <v>13.244999999999999</v>
      </c>
      <c r="I21">
        <v>13.266</v>
      </c>
      <c r="J21">
        <v>1.03</v>
      </c>
      <c r="K21">
        <v>1.0980000000000001</v>
      </c>
      <c r="L21">
        <v>1.097</v>
      </c>
      <c r="M21">
        <v>1.0980000000000001</v>
      </c>
    </row>
    <row r="22" spans="1:13" x14ac:dyDescent="0.3">
      <c r="A22" t="s">
        <v>111</v>
      </c>
      <c r="B22" t="s">
        <v>147</v>
      </c>
      <c r="C22" t="s">
        <v>148</v>
      </c>
      <c r="D22">
        <v>0.2</v>
      </c>
      <c r="E22">
        <v>671.28300000000002</v>
      </c>
      <c r="F22">
        <v>670.24900000000002</v>
      </c>
      <c r="G22">
        <v>-4.3400000000000001E-2</v>
      </c>
      <c r="H22">
        <v>23.826000000000001</v>
      </c>
      <c r="I22">
        <v>23.849</v>
      </c>
      <c r="J22">
        <v>1.018</v>
      </c>
      <c r="K22">
        <v>1.0980000000000001</v>
      </c>
      <c r="L22">
        <v>1.0980000000000001</v>
      </c>
      <c r="M22">
        <v>1.0589999999999999</v>
      </c>
    </row>
    <row r="23" spans="1:13" x14ac:dyDescent="0.3">
      <c r="A23" t="s">
        <v>112</v>
      </c>
      <c r="B23" t="s">
        <v>148</v>
      </c>
      <c r="C23" t="s">
        <v>149</v>
      </c>
      <c r="D23">
        <v>0.2</v>
      </c>
      <c r="E23">
        <v>670.24900000000002</v>
      </c>
      <c r="F23">
        <v>669.49900000000002</v>
      </c>
      <c r="G23">
        <v>-4.3400000000000001E-2</v>
      </c>
      <c r="H23">
        <v>17.291</v>
      </c>
      <c r="I23">
        <v>17.308</v>
      </c>
      <c r="J23">
        <v>1.0589999999999999</v>
      </c>
      <c r="K23">
        <v>1.5589999999999999</v>
      </c>
      <c r="L23">
        <v>1.0589999999999999</v>
      </c>
      <c r="M23">
        <v>1.252</v>
      </c>
    </row>
    <row r="24" spans="1:13" x14ac:dyDescent="0.3">
      <c r="A24" t="s">
        <v>113</v>
      </c>
      <c r="B24" t="s">
        <v>149</v>
      </c>
      <c r="C24" t="s">
        <v>150</v>
      </c>
      <c r="D24">
        <v>0.2</v>
      </c>
      <c r="E24">
        <v>669.49900000000002</v>
      </c>
      <c r="F24">
        <v>668.39400000000001</v>
      </c>
      <c r="G24">
        <v>-2.9600000000000001E-2</v>
      </c>
      <c r="H24">
        <v>37.341000000000001</v>
      </c>
      <c r="I24">
        <v>37.356999999999999</v>
      </c>
      <c r="J24">
        <v>1.2210000000000001</v>
      </c>
      <c r="K24">
        <v>1.2869999999999999</v>
      </c>
      <c r="L24">
        <v>1.252</v>
      </c>
      <c r="M24">
        <v>1.2509999999999999</v>
      </c>
    </row>
    <row r="25" spans="1:13" x14ac:dyDescent="0.3">
      <c r="A25" t="s">
        <v>114</v>
      </c>
      <c r="B25" t="s">
        <v>150</v>
      </c>
      <c r="C25" t="s">
        <v>151</v>
      </c>
      <c r="D25">
        <v>0.2</v>
      </c>
      <c r="E25">
        <v>668.39400000000001</v>
      </c>
      <c r="F25">
        <v>667.85799999999995</v>
      </c>
      <c r="G25">
        <v>-2.1499999999999998E-2</v>
      </c>
      <c r="H25">
        <v>24.888999999999999</v>
      </c>
      <c r="I25">
        <v>24.895</v>
      </c>
      <c r="J25">
        <v>1.202</v>
      </c>
      <c r="K25">
        <v>1.2529999999999999</v>
      </c>
      <c r="L25">
        <v>1.2509999999999999</v>
      </c>
      <c r="M25">
        <v>1.2529999999999999</v>
      </c>
    </row>
    <row r="26" spans="1:13" x14ac:dyDescent="0.3">
      <c r="A26" t="s">
        <v>152</v>
      </c>
      <c r="B26" t="s">
        <v>151</v>
      </c>
      <c r="C26" t="s">
        <v>153</v>
      </c>
      <c r="D26">
        <v>0.2</v>
      </c>
      <c r="E26">
        <v>667.85799999999995</v>
      </c>
      <c r="F26">
        <v>667.59699999999998</v>
      </c>
      <c r="G26">
        <v>-1.46E-2</v>
      </c>
      <c r="H26">
        <v>17.887</v>
      </c>
      <c r="I26">
        <v>17.888999999999999</v>
      </c>
      <c r="J26">
        <v>1.2529999999999999</v>
      </c>
      <c r="K26">
        <v>1.357</v>
      </c>
      <c r="L26">
        <v>1.2529999999999999</v>
      </c>
      <c r="M26">
        <v>1.3420000000000001</v>
      </c>
    </row>
    <row r="27" spans="1:13" x14ac:dyDescent="0.3">
      <c r="A27" t="s">
        <v>154</v>
      </c>
      <c r="B27" t="s">
        <v>78</v>
      </c>
      <c r="C27" t="s">
        <v>82</v>
      </c>
      <c r="D27">
        <v>0.2</v>
      </c>
      <c r="E27">
        <v>676.88400000000001</v>
      </c>
      <c r="F27">
        <v>676.51499999999999</v>
      </c>
      <c r="G27">
        <v>-1.7500000000000002E-2</v>
      </c>
      <c r="H27">
        <v>21.103000000000002</v>
      </c>
      <c r="I27">
        <v>21.106000000000002</v>
      </c>
      <c r="J27">
        <v>1.03</v>
      </c>
      <c r="K27">
        <v>1.304</v>
      </c>
      <c r="L27">
        <v>1.0680000000000001</v>
      </c>
      <c r="M27">
        <v>1.0569999999999999</v>
      </c>
    </row>
    <row r="28" spans="1:13" x14ac:dyDescent="0.3">
      <c r="A28" t="s">
        <v>155</v>
      </c>
      <c r="B28" t="s">
        <v>82</v>
      </c>
      <c r="C28" t="s">
        <v>88</v>
      </c>
      <c r="D28">
        <v>0.2</v>
      </c>
      <c r="E28">
        <v>676.29</v>
      </c>
      <c r="F28">
        <v>675.87099999999998</v>
      </c>
      <c r="G28">
        <v>-2.1499999999999998E-2</v>
      </c>
      <c r="H28">
        <v>19.454999999999998</v>
      </c>
      <c r="I28">
        <v>19.46</v>
      </c>
      <c r="J28">
        <v>0.91100000000000003</v>
      </c>
      <c r="K28">
        <v>1.325</v>
      </c>
      <c r="L28">
        <v>1.282</v>
      </c>
      <c r="M28">
        <v>1.2250000000000001</v>
      </c>
    </row>
    <row r="29" spans="1:13" x14ac:dyDescent="0.3">
      <c r="A29" t="s">
        <v>156</v>
      </c>
      <c r="B29" t="s">
        <v>91</v>
      </c>
      <c r="C29" t="s">
        <v>88</v>
      </c>
      <c r="D29">
        <v>0.2</v>
      </c>
      <c r="E29">
        <v>674.75199999999995</v>
      </c>
      <c r="F29">
        <v>675.87400000000002</v>
      </c>
      <c r="G29">
        <v>4.48E-2</v>
      </c>
      <c r="H29">
        <v>25.045000000000002</v>
      </c>
      <c r="I29">
        <v>25.07</v>
      </c>
      <c r="J29">
        <v>0.875</v>
      </c>
      <c r="K29">
        <v>1.222</v>
      </c>
      <c r="L29">
        <v>1.1559999999999999</v>
      </c>
      <c r="M29">
        <v>1.222</v>
      </c>
    </row>
    <row r="30" spans="1:13" x14ac:dyDescent="0.3">
      <c r="A30" t="s">
        <v>157</v>
      </c>
      <c r="B30" t="s">
        <v>80</v>
      </c>
      <c r="C30" t="s">
        <v>88</v>
      </c>
      <c r="D30">
        <v>0.2</v>
      </c>
      <c r="E30">
        <v>670.93700000000001</v>
      </c>
      <c r="F30">
        <v>674.97299999999996</v>
      </c>
      <c r="G30">
        <v>0.12520000000000001</v>
      </c>
      <c r="H30">
        <v>32.231999999999999</v>
      </c>
      <c r="I30">
        <v>32.484000000000002</v>
      </c>
      <c r="J30">
        <v>1.5840000000000001</v>
      </c>
      <c r="K30">
        <v>2.597</v>
      </c>
      <c r="L30">
        <v>2.4329999999999998</v>
      </c>
      <c r="M30">
        <v>2.1230000000000002</v>
      </c>
    </row>
    <row r="31" spans="1:13" x14ac:dyDescent="0.3">
      <c r="A31" t="s">
        <v>158</v>
      </c>
      <c r="B31" t="s">
        <v>80</v>
      </c>
      <c r="C31" t="s">
        <v>85</v>
      </c>
      <c r="D31">
        <v>0.2</v>
      </c>
      <c r="E31">
        <v>670.86500000000001</v>
      </c>
      <c r="F31">
        <v>670.57399999999996</v>
      </c>
      <c r="G31">
        <v>-1.26E-2</v>
      </c>
      <c r="H31">
        <v>23.201000000000001</v>
      </c>
      <c r="I31">
        <v>23.202999999999999</v>
      </c>
      <c r="J31">
        <v>2.3119999999999998</v>
      </c>
      <c r="K31">
        <v>2.5049999999999999</v>
      </c>
      <c r="L31">
        <v>2.5049999999999999</v>
      </c>
      <c r="M31">
        <v>-0.107</v>
      </c>
    </row>
    <row r="32" spans="1:13" x14ac:dyDescent="0.3">
      <c r="A32" t="s">
        <v>159</v>
      </c>
      <c r="B32" t="s">
        <v>72</v>
      </c>
      <c r="C32" t="s">
        <v>71</v>
      </c>
      <c r="D32">
        <v>0.2</v>
      </c>
      <c r="E32">
        <v>678.77</v>
      </c>
      <c r="F32">
        <v>677.99</v>
      </c>
      <c r="G32">
        <v>-0.1</v>
      </c>
      <c r="H32">
        <v>7.7960000000000003</v>
      </c>
      <c r="I32">
        <v>7.835</v>
      </c>
      <c r="J32">
        <v>1.008</v>
      </c>
      <c r="K32">
        <v>1.1850000000000001</v>
      </c>
      <c r="L32">
        <v>1.008</v>
      </c>
      <c r="M32">
        <v>1.1850000000000001</v>
      </c>
    </row>
    <row r="33" spans="1:13" x14ac:dyDescent="0.3">
      <c r="A33" t="s">
        <v>160</v>
      </c>
      <c r="B33" t="s">
        <v>84</v>
      </c>
      <c r="C33" t="s">
        <v>86</v>
      </c>
      <c r="D33">
        <v>0.2</v>
      </c>
      <c r="E33">
        <v>680.94500000000005</v>
      </c>
      <c r="F33">
        <v>679.029</v>
      </c>
      <c r="G33">
        <v>-0.12870000000000001</v>
      </c>
      <c r="H33">
        <v>14.891999999999999</v>
      </c>
      <c r="I33">
        <v>15.015000000000001</v>
      </c>
      <c r="J33">
        <v>0.65</v>
      </c>
      <c r="K33">
        <v>2.278</v>
      </c>
      <c r="L33">
        <v>0.94799999999999995</v>
      </c>
      <c r="M33">
        <v>0.65</v>
      </c>
    </row>
    <row r="34" spans="1:13" x14ac:dyDescent="0.3">
      <c r="A34" t="s">
        <v>161</v>
      </c>
      <c r="B34" t="s">
        <v>86</v>
      </c>
      <c r="C34" t="s">
        <v>87</v>
      </c>
      <c r="D34">
        <v>0.2</v>
      </c>
      <c r="E34">
        <v>678.62599999999998</v>
      </c>
      <c r="F34">
        <v>678.37599999999998</v>
      </c>
      <c r="G34">
        <v>-0.03</v>
      </c>
      <c r="H34">
        <v>8.3360000000000003</v>
      </c>
      <c r="I34">
        <v>8.3390000000000004</v>
      </c>
      <c r="J34">
        <v>0.89300000000000002</v>
      </c>
      <c r="K34">
        <v>1.054</v>
      </c>
      <c r="L34">
        <v>1.054</v>
      </c>
      <c r="M34">
        <v>0.91400000000000003</v>
      </c>
    </row>
    <row r="35" spans="1:13" x14ac:dyDescent="0.3">
      <c r="A35" t="s">
        <v>162</v>
      </c>
      <c r="B35" t="s">
        <v>90</v>
      </c>
      <c r="C35" t="s">
        <v>92</v>
      </c>
      <c r="D35">
        <v>0.2</v>
      </c>
      <c r="E35">
        <v>679.41</v>
      </c>
      <c r="F35">
        <v>677.43399999999997</v>
      </c>
      <c r="G35">
        <v>-0.1186</v>
      </c>
      <c r="H35">
        <v>16.670000000000002</v>
      </c>
      <c r="I35">
        <v>16.786000000000001</v>
      </c>
      <c r="J35">
        <v>0.94799999999999995</v>
      </c>
      <c r="K35">
        <v>2.593</v>
      </c>
      <c r="L35">
        <v>2.387</v>
      </c>
      <c r="M35">
        <v>1.486</v>
      </c>
    </row>
    <row r="36" spans="1:13" x14ac:dyDescent="0.3">
      <c r="A36" t="s">
        <v>163</v>
      </c>
      <c r="B36" t="s">
        <v>93</v>
      </c>
      <c r="C36" t="s">
        <v>94</v>
      </c>
      <c r="D36">
        <v>0.2</v>
      </c>
      <c r="E36">
        <v>678.06200000000001</v>
      </c>
      <c r="F36">
        <v>676.90599999999995</v>
      </c>
      <c r="G36">
        <v>-7.6200000000000004E-2</v>
      </c>
      <c r="H36">
        <v>15.167</v>
      </c>
      <c r="I36">
        <v>15.211</v>
      </c>
      <c r="J36">
        <v>0.94799999999999995</v>
      </c>
      <c r="K36">
        <v>1.78</v>
      </c>
      <c r="L36">
        <v>1.78</v>
      </c>
      <c r="M36">
        <v>1.2609999999999999</v>
      </c>
    </row>
    <row r="37" spans="1:13" x14ac:dyDescent="0.3">
      <c r="A37" t="s">
        <v>164</v>
      </c>
      <c r="B37" t="s">
        <v>115</v>
      </c>
      <c r="C37" t="s">
        <v>128</v>
      </c>
      <c r="D37">
        <v>0.2</v>
      </c>
      <c r="E37">
        <v>676.202</v>
      </c>
      <c r="F37">
        <v>676.74800000000005</v>
      </c>
      <c r="G37">
        <v>4.5100000000000001E-2</v>
      </c>
      <c r="H37">
        <v>12.095000000000001</v>
      </c>
      <c r="I37">
        <v>12.106999999999999</v>
      </c>
      <c r="J37">
        <v>0.94799999999999995</v>
      </c>
      <c r="K37">
        <v>1.198</v>
      </c>
      <c r="L37">
        <v>0.94799999999999995</v>
      </c>
      <c r="M37">
        <v>0.94799999999999995</v>
      </c>
    </row>
    <row r="38" spans="1:13" x14ac:dyDescent="0.3">
      <c r="A38" t="s">
        <v>165</v>
      </c>
      <c r="B38" t="s">
        <v>166</v>
      </c>
      <c r="C38" t="s">
        <v>167</v>
      </c>
      <c r="D38">
        <v>0.2</v>
      </c>
      <c r="E38">
        <v>679.22</v>
      </c>
      <c r="F38">
        <v>0.125</v>
      </c>
      <c r="G38">
        <v>-50.136699999999998</v>
      </c>
      <c r="H38">
        <v>13.545</v>
      </c>
      <c r="I38">
        <v>679.23</v>
      </c>
      <c r="J38">
        <v>0.95799999999999996</v>
      </c>
      <c r="K38">
        <v>678.75400000000002</v>
      </c>
      <c r="L38">
        <v>0.95799999999999996</v>
      </c>
      <c r="M38">
        <v>678.75400000000002</v>
      </c>
    </row>
    <row r="39" spans="1:13" x14ac:dyDescent="0.3">
      <c r="A39" t="s">
        <v>168</v>
      </c>
      <c r="B39" t="s">
        <v>167</v>
      </c>
      <c r="C39" t="s">
        <v>94</v>
      </c>
      <c r="D39">
        <v>0.2</v>
      </c>
      <c r="E39">
        <v>675.92600000000004</v>
      </c>
      <c r="F39">
        <v>675.654</v>
      </c>
      <c r="G39">
        <v>-2.2200000000000001E-2</v>
      </c>
      <c r="H39">
        <v>12.265000000000001</v>
      </c>
      <c r="I39">
        <v>12.268000000000001</v>
      </c>
      <c r="J39">
        <v>2.246</v>
      </c>
      <c r="K39">
        <v>2.952</v>
      </c>
      <c r="L39">
        <v>2.952</v>
      </c>
      <c r="M39">
        <v>2.512</v>
      </c>
    </row>
    <row r="40" spans="1:13" x14ac:dyDescent="0.3">
      <c r="A40" t="s">
        <v>169</v>
      </c>
      <c r="B40" t="s">
        <v>170</v>
      </c>
      <c r="C40" t="s">
        <v>132</v>
      </c>
      <c r="D40">
        <v>0.2</v>
      </c>
      <c r="E40">
        <v>674.61800000000005</v>
      </c>
      <c r="F40">
        <v>674.08299999999997</v>
      </c>
      <c r="G40">
        <v>-4.99E-2</v>
      </c>
      <c r="H40">
        <v>10.734999999999999</v>
      </c>
      <c r="I40">
        <v>10.747999999999999</v>
      </c>
      <c r="J40">
        <v>0.94799999999999995</v>
      </c>
      <c r="K40">
        <v>1.1459999999999999</v>
      </c>
      <c r="L40">
        <v>1.1459999999999999</v>
      </c>
      <c r="M40">
        <v>1.03</v>
      </c>
    </row>
    <row r="41" spans="1:13" x14ac:dyDescent="0.3">
      <c r="A41" t="s">
        <v>171</v>
      </c>
      <c r="B41" t="s">
        <v>172</v>
      </c>
      <c r="C41" t="s">
        <v>134</v>
      </c>
      <c r="D41">
        <v>0.2</v>
      </c>
      <c r="E41">
        <v>669.99</v>
      </c>
      <c r="F41">
        <v>669.904</v>
      </c>
      <c r="G41">
        <v>-3.7000000000000002E-3</v>
      </c>
      <c r="H41">
        <v>23.23</v>
      </c>
      <c r="I41">
        <v>23.23</v>
      </c>
      <c r="J41">
        <v>1.1000000000000001</v>
      </c>
      <c r="K41">
        <v>3.43</v>
      </c>
      <c r="L41">
        <v>1.1000000000000001</v>
      </c>
      <c r="M41">
        <v>3.43</v>
      </c>
    </row>
    <row r="42" spans="1:13" x14ac:dyDescent="0.3">
      <c r="A42" t="s">
        <v>173</v>
      </c>
      <c r="B42" t="s">
        <v>174</v>
      </c>
      <c r="C42" t="s">
        <v>142</v>
      </c>
      <c r="D42">
        <v>0.2</v>
      </c>
      <c r="E42">
        <v>670.57899999999995</v>
      </c>
      <c r="F42">
        <v>671.702</v>
      </c>
      <c r="G42">
        <v>7.8100000000000003E-2</v>
      </c>
      <c r="H42">
        <v>14.387</v>
      </c>
      <c r="I42">
        <v>14.430999999999999</v>
      </c>
      <c r="J42">
        <v>0.94799999999999995</v>
      </c>
      <c r="K42">
        <v>1.3560000000000001</v>
      </c>
      <c r="L42">
        <v>1.3560000000000001</v>
      </c>
      <c r="M42">
        <v>1.0880000000000001</v>
      </c>
    </row>
    <row r="43" spans="1:13" x14ac:dyDescent="0.3">
      <c r="A43" t="s">
        <v>175</v>
      </c>
      <c r="B43" t="s">
        <v>176</v>
      </c>
      <c r="C43" t="s">
        <v>141</v>
      </c>
      <c r="D43">
        <v>0.2</v>
      </c>
      <c r="E43">
        <v>673.17</v>
      </c>
      <c r="F43">
        <v>672.548</v>
      </c>
      <c r="G43">
        <v>-5.2299999999999999E-2</v>
      </c>
      <c r="H43">
        <v>11.89</v>
      </c>
      <c r="I43">
        <v>11.906000000000001</v>
      </c>
      <c r="J43">
        <v>0.94799999999999995</v>
      </c>
      <c r="K43">
        <v>1.1100000000000001</v>
      </c>
      <c r="L43">
        <v>1.1100000000000001</v>
      </c>
      <c r="M43">
        <v>1</v>
      </c>
    </row>
    <row r="44" spans="1:13" x14ac:dyDescent="0.3">
      <c r="A44" t="s">
        <v>177</v>
      </c>
      <c r="B44" t="s">
        <v>178</v>
      </c>
      <c r="C44" t="s">
        <v>139</v>
      </c>
      <c r="D44">
        <v>0.2</v>
      </c>
      <c r="E44">
        <v>674.39200000000005</v>
      </c>
      <c r="F44">
        <v>674.13099999999997</v>
      </c>
      <c r="G44">
        <v>-1.5100000000000001E-2</v>
      </c>
      <c r="H44">
        <v>17.332999999999998</v>
      </c>
      <c r="I44">
        <v>17.335000000000001</v>
      </c>
      <c r="J44">
        <v>0.94799999999999995</v>
      </c>
      <c r="K44">
        <v>2.077</v>
      </c>
      <c r="L44">
        <v>2.077</v>
      </c>
      <c r="M44">
        <v>1.397</v>
      </c>
    </row>
    <row r="45" spans="1:13" x14ac:dyDescent="0.3">
      <c r="A45" t="s">
        <v>179</v>
      </c>
      <c r="B45" t="s">
        <v>180</v>
      </c>
      <c r="C45" t="s">
        <v>140</v>
      </c>
      <c r="D45">
        <v>0.2</v>
      </c>
      <c r="E45">
        <v>675.99</v>
      </c>
      <c r="F45">
        <v>675.10599999999999</v>
      </c>
      <c r="G45">
        <v>-6.1899999999999997E-2</v>
      </c>
      <c r="H45">
        <v>14.284000000000001</v>
      </c>
      <c r="I45">
        <v>14.311</v>
      </c>
      <c r="J45">
        <v>0.94799999999999995</v>
      </c>
      <c r="K45">
        <v>1.236</v>
      </c>
      <c r="L45">
        <v>1.236</v>
      </c>
      <c r="M45">
        <v>1.0780000000000001</v>
      </c>
    </row>
    <row r="46" spans="1:13" x14ac:dyDescent="0.3">
      <c r="A46" t="s">
        <v>181</v>
      </c>
      <c r="B46" t="s">
        <v>182</v>
      </c>
      <c r="C46" t="s">
        <v>140</v>
      </c>
      <c r="D46">
        <v>0.2</v>
      </c>
      <c r="E46">
        <v>674.66200000000003</v>
      </c>
      <c r="F46">
        <v>675.23599999999999</v>
      </c>
      <c r="G46">
        <v>5.1999999999999998E-2</v>
      </c>
      <c r="H46">
        <v>11.048999999999999</v>
      </c>
      <c r="I46">
        <v>11.064</v>
      </c>
      <c r="J46">
        <v>0.94799999999999995</v>
      </c>
      <c r="K46">
        <v>1.032</v>
      </c>
      <c r="L46">
        <v>0.94799999999999995</v>
      </c>
      <c r="M46">
        <v>0.94799999999999995</v>
      </c>
    </row>
    <row r="47" spans="1:13" x14ac:dyDescent="0.3">
      <c r="A47" t="s">
        <v>183</v>
      </c>
      <c r="B47" t="s">
        <v>184</v>
      </c>
      <c r="C47" t="s">
        <v>146</v>
      </c>
      <c r="D47">
        <v>0.2</v>
      </c>
      <c r="E47">
        <v>674.56799999999998</v>
      </c>
      <c r="F47">
        <v>671.84299999999996</v>
      </c>
      <c r="G47">
        <v>-0.12130000000000001</v>
      </c>
      <c r="H47">
        <v>22.469000000000001</v>
      </c>
      <c r="I47">
        <v>22.632999999999999</v>
      </c>
      <c r="J47">
        <v>0.94799999999999995</v>
      </c>
      <c r="K47">
        <v>2.2010000000000001</v>
      </c>
      <c r="L47">
        <v>1.6910000000000001</v>
      </c>
      <c r="M47">
        <v>1.2909999999999999</v>
      </c>
    </row>
    <row r="48" spans="1:13" x14ac:dyDescent="0.3">
      <c r="A48" t="s">
        <v>185</v>
      </c>
      <c r="B48" t="s">
        <v>186</v>
      </c>
      <c r="C48" t="s">
        <v>148</v>
      </c>
      <c r="D48">
        <v>0.2</v>
      </c>
      <c r="E48">
        <v>669.89300000000003</v>
      </c>
      <c r="F48">
        <v>670.27800000000002</v>
      </c>
      <c r="G48">
        <v>1.67E-2</v>
      </c>
      <c r="H48">
        <v>23.082000000000001</v>
      </c>
      <c r="I48">
        <v>23.085999999999999</v>
      </c>
      <c r="J48">
        <v>0.94799999999999995</v>
      </c>
      <c r="K48">
        <v>1.331</v>
      </c>
      <c r="L48">
        <v>1.1850000000000001</v>
      </c>
      <c r="M48">
        <v>1.03</v>
      </c>
    </row>
    <row r="49" spans="1:13" x14ac:dyDescent="0.3">
      <c r="A49" t="s">
        <v>187</v>
      </c>
      <c r="B49" t="s">
        <v>188</v>
      </c>
      <c r="C49" t="s">
        <v>149</v>
      </c>
      <c r="D49">
        <v>0.2</v>
      </c>
      <c r="E49">
        <v>670.56799999999998</v>
      </c>
      <c r="F49">
        <v>669.55100000000004</v>
      </c>
      <c r="G49">
        <v>-6.7699999999999996E-2</v>
      </c>
      <c r="H49">
        <v>15.026</v>
      </c>
      <c r="I49">
        <v>15.06</v>
      </c>
      <c r="J49">
        <v>0.94799999999999995</v>
      </c>
      <c r="K49">
        <v>1.581</v>
      </c>
      <c r="L49">
        <v>1.581</v>
      </c>
      <c r="M49">
        <v>1.1990000000000001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86629-58BC-4111-AEE9-22E641A1EA10}">
  <sheetPr codeName="Planilha5"/>
  <dimension ref="A1:D52"/>
  <sheetViews>
    <sheetView workbookViewId="0">
      <selection activeCell="H46" sqref="H46"/>
    </sheetView>
  </sheetViews>
  <sheetFormatPr defaultRowHeight="15.6" x14ac:dyDescent="0.3"/>
  <cols>
    <col min="2" max="2" width="13" customWidth="1"/>
    <col min="3" max="3" width="13.5" customWidth="1"/>
    <col min="4" max="4" width="17.5" customWidth="1"/>
  </cols>
  <sheetData>
    <row r="1" spans="1:4" x14ac:dyDescent="0.3">
      <c r="A1" t="s">
        <v>107</v>
      </c>
      <c r="B1" t="s">
        <v>119</v>
      </c>
      <c r="C1" t="s">
        <v>120</v>
      </c>
      <c r="D1" t="s">
        <v>121</v>
      </c>
    </row>
    <row r="2" spans="1:4" x14ac:dyDescent="0.3">
      <c r="A2" t="s">
        <v>68</v>
      </c>
      <c r="B2">
        <v>220026.0637</v>
      </c>
      <c r="C2">
        <v>127611.5664</v>
      </c>
      <c r="D2">
        <v>679.63599999999997</v>
      </c>
    </row>
    <row r="3" spans="1:4" x14ac:dyDescent="0.3">
      <c r="A3" t="s">
        <v>69</v>
      </c>
      <c r="B3">
        <v>220066.60190000001</v>
      </c>
      <c r="C3">
        <v>127628.766</v>
      </c>
      <c r="D3">
        <v>679.06200000000001</v>
      </c>
    </row>
    <row r="4" spans="1:4" x14ac:dyDescent="0.3">
      <c r="A4" t="s">
        <v>70</v>
      </c>
      <c r="B4">
        <v>220086.72990000001</v>
      </c>
      <c r="C4">
        <v>127635.5284</v>
      </c>
      <c r="D4">
        <v>679.06600000000003</v>
      </c>
    </row>
    <row r="5" spans="1:4" x14ac:dyDescent="0.3">
      <c r="A5" t="s">
        <v>71</v>
      </c>
      <c r="B5">
        <v>220095.51980000001</v>
      </c>
      <c r="C5">
        <v>127637.52680000001</v>
      </c>
      <c r="D5">
        <v>679.18200000000002</v>
      </c>
    </row>
    <row r="6" spans="1:4" x14ac:dyDescent="0.3">
      <c r="A6" t="s">
        <v>72</v>
      </c>
      <c r="B6">
        <v>220095.71109999999</v>
      </c>
      <c r="C6">
        <v>127629.7334</v>
      </c>
      <c r="D6">
        <v>679.78499999999997</v>
      </c>
    </row>
    <row r="7" spans="1:4" x14ac:dyDescent="0.3">
      <c r="A7" t="s">
        <v>78</v>
      </c>
      <c r="B7">
        <v>220106.70860000001</v>
      </c>
      <c r="C7">
        <v>127652.1778</v>
      </c>
      <c r="D7">
        <v>677.95899999999995</v>
      </c>
    </row>
    <row r="8" spans="1:4" x14ac:dyDescent="0.3">
      <c r="A8" t="s">
        <v>80</v>
      </c>
      <c r="B8">
        <v>220121.86</v>
      </c>
      <c r="C8">
        <v>127678.5888</v>
      </c>
      <c r="D8">
        <v>673.36500000000001</v>
      </c>
    </row>
    <row r="9" spans="1:4" x14ac:dyDescent="0.3">
      <c r="A9" t="s">
        <v>82</v>
      </c>
      <c r="B9">
        <v>220127.36919999999</v>
      </c>
      <c r="C9">
        <v>127656.47659999999</v>
      </c>
      <c r="D9">
        <v>677.57899999999995</v>
      </c>
    </row>
    <row r="10" spans="1:4" x14ac:dyDescent="0.3">
      <c r="A10" t="s">
        <v>84</v>
      </c>
      <c r="B10">
        <v>220128.02420000001</v>
      </c>
      <c r="C10">
        <v>127625.5848</v>
      </c>
      <c r="D10">
        <v>681.9</v>
      </c>
    </row>
    <row r="11" spans="1:4" x14ac:dyDescent="0.3">
      <c r="A11" t="s">
        <v>85</v>
      </c>
      <c r="B11">
        <v>220129.6672</v>
      </c>
      <c r="C11">
        <v>127700.4369</v>
      </c>
      <c r="D11">
        <v>670.59100000000001</v>
      </c>
    </row>
    <row r="12" spans="1:4" x14ac:dyDescent="0.3">
      <c r="A12" t="s">
        <v>86</v>
      </c>
      <c r="B12">
        <v>220130.41709999999</v>
      </c>
      <c r="C12">
        <v>127640.2837</v>
      </c>
      <c r="D12">
        <v>679.64200000000005</v>
      </c>
    </row>
    <row r="13" spans="1:4" x14ac:dyDescent="0.3">
      <c r="A13" t="s">
        <v>87</v>
      </c>
      <c r="B13">
        <v>220135.89720000001</v>
      </c>
      <c r="C13">
        <v>127646.5646</v>
      </c>
      <c r="D13">
        <v>679.29600000000005</v>
      </c>
    </row>
    <row r="14" spans="1:4" x14ac:dyDescent="0.3">
      <c r="A14" t="s">
        <v>88</v>
      </c>
      <c r="B14">
        <v>220146.75510000001</v>
      </c>
      <c r="C14">
        <v>127658.11569999999</v>
      </c>
      <c r="D14">
        <v>677.10299999999995</v>
      </c>
    </row>
    <row r="15" spans="1:4" x14ac:dyDescent="0.3">
      <c r="A15" t="s">
        <v>89</v>
      </c>
      <c r="B15">
        <v>220154.45929999999</v>
      </c>
      <c r="C15">
        <v>127650.7194</v>
      </c>
      <c r="D15">
        <v>679.28700000000003</v>
      </c>
    </row>
    <row r="16" spans="1:4" x14ac:dyDescent="0.3">
      <c r="A16" t="s">
        <v>90</v>
      </c>
      <c r="B16">
        <v>220164.5741</v>
      </c>
      <c r="C16">
        <v>127637.3884</v>
      </c>
      <c r="D16">
        <v>681.80499999999995</v>
      </c>
    </row>
    <row r="17" spans="1:4" x14ac:dyDescent="0.3">
      <c r="A17" t="s">
        <v>91</v>
      </c>
      <c r="B17">
        <v>220164.96189999999</v>
      </c>
      <c r="C17">
        <v>127675.31389999999</v>
      </c>
      <c r="D17">
        <v>675.91499999999996</v>
      </c>
    </row>
    <row r="18" spans="1:4" x14ac:dyDescent="0.3">
      <c r="A18" t="s">
        <v>92</v>
      </c>
      <c r="B18">
        <v>220168.18410000001</v>
      </c>
      <c r="C18">
        <v>127653.6624</v>
      </c>
      <c r="D18">
        <v>678.92700000000002</v>
      </c>
    </row>
    <row r="19" spans="1:4" x14ac:dyDescent="0.3">
      <c r="A19" t="s">
        <v>93</v>
      </c>
      <c r="B19">
        <v>220208.5313</v>
      </c>
      <c r="C19">
        <v>127648.4859</v>
      </c>
      <c r="D19">
        <v>679.84900000000005</v>
      </c>
    </row>
    <row r="20" spans="1:4" x14ac:dyDescent="0.3">
      <c r="A20" t="s">
        <v>94</v>
      </c>
      <c r="B20">
        <v>220212.4155</v>
      </c>
      <c r="C20">
        <v>127663.14690000001</v>
      </c>
      <c r="D20">
        <v>678.173</v>
      </c>
    </row>
    <row r="21" spans="1:4" x14ac:dyDescent="0.3">
      <c r="A21" t="s">
        <v>115</v>
      </c>
      <c r="B21">
        <v>220220.34719999999</v>
      </c>
      <c r="C21">
        <v>127676.6437</v>
      </c>
      <c r="D21">
        <v>677.15700000000004</v>
      </c>
    </row>
    <row r="22" spans="1:4" x14ac:dyDescent="0.3">
      <c r="A22" t="s">
        <v>167</v>
      </c>
      <c r="B22">
        <v>220222.33660000001</v>
      </c>
      <c r="C22">
        <v>127655.93640000001</v>
      </c>
      <c r="D22">
        <v>678.88599999999997</v>
      </c>
    </row>
    <row r="23" spans="1:4" x14ac:dyDescent="0.3">
      <c r="A23" t="s">
        <v>128</v>
      </c>
      <c r="B23">
        <v>220223.1495</v>
      </c>
      <c r="C23">
        <v>127664.87790000001</v>
      </c>
      <c r="D23">
        <v>677.70299999999997</v>
      </c>
    </row>
    <row r="24" spans="1:4" x14ac:dyDescent="0.3">
      <c r="A24" t="s">
        <v>166</v>
      </c>
      <c r="B24">
        <v>220232.73430000001</v>
      </c>
      <c r="C24">
        <v>127647.2559</v>
      </c>
      <c r="D24">
        <v>680.18399999999997</v>
      </c>
    </row>
    <row r="25" spans="1:4" x14ac:dyDescent="0.3">
      <c r="A25" t="s">
        <v>130</v>
      </c>
      <c r="B25">
        <v>220242.73579999999</v>
      </c>
      <c r="C25">
        <v>127665.03750000001</v>
      </c>
      <c r="D25">
        <v>676.57399999999996</v>
      </c>
    </row>
    <row r="26" spans="1:4" x14ac:dyDescent="0.3">
      <c r="A26" t="s">
        <v>170</v>
      </c>
      <c r="B26">
        <v>220264.91029999999</v>
      </c>
      <c r="C26">
        <v>127672.61440000001</v>
      </c>
      <c r="D26">
        <v>675.77099999999996</v>
      </c>
    </row>
    <row r="27" spans="1:4" x14ac:dyDescent="0.3">
      <c r="A27" t="s">
        <v>132</v>
      </c>
      <c r="B27">
        <v>220266.44949999999</v>
      </c>
      <c r="C27">
        <v>127661.9903</v>
      </c>
      <c r="D27">
        <v>675.12</v>
      </c>
    </row>
    <row r="28" spans="1:4" x14ac:dyDescent="0.3">
      <c r="A28" t="s">
        <v>134</v>
      </c>
      <c r="B28">
        <v>220294.05489999999</v>
      </c>
      <c r="C28">
        <v>127658.4431</v>
      </c>
      <c r="D28">
        <v>673.43600000000004</v>
      </c>
    </row>
    <row r="29" spans="1:4" x14ac:dyDescent="0.3">
      <c r="A29" t="s">
        <v>172</v>
      </c>
      <c r="B29">
        <v>220298.51449999999</v>
      </c>
      <c r="C29">
        <v>127681.24099999999</v>
      </c>
      <c r="D29">
        <v>671.09699999999998</v>
      </c>
    </row>
    <row r="30" spans="1:4" x14ac:dyDescent="0.3">
      <c r="A30" t="s">
        <v>136</v>
      </c>
      <c r="B30">
        <v>220313.95980000001</v>
      </c>
      <c r="C30">
        <v>127656.3898</v>
      </c>
      <c r="D30">
        <v>672.44</v>
      </c>
    </row>
    <row r="31" spans="1:4" x14ac:dyDescent="0.3">
      <c r="A31" t="s">
        <v>138</v>
      </c>
      <c r="B31">
        <v>220324.28400000001</v>
      </c>
      <c r="C31">
        <v>127655.33560000001</v>
      </c>
      <c r="D31">
        <v>672.18299999999999</v>
      </c>
    </row>
    <row r="32" spans="1:4" x14ac:dyDescent="0.3">
      <c r="A32" t="s">
        <v>174</v>
      </c>
      <c r="B32">
        <v>220342.72839999999</v>
      </c>
      <c r="C32">
        <v>127667.787</v>
      </c>
      <c r="D32">
        <v>671.94100000000003</v>
      </c>
    </row>
    <row r="33" spans="1:4" x14ac:dyDescent="0.3">
      <c r="A33" t="s">
        <v>142</v>
      </c>
      <c r="B33">
        <v>220343.17069999999</v>
      </c>
      <c r="C33">
        <v>127653.4071</v>
      </c>
      <c r="D33">
        <v>672.79700000000003</v>
      </c>
    </row>
    <row r="34" spans="1:4" x14ac:dyDescent="0.3">
      <c r="A34" t="s">
        <v>176</v>
      </c>
      <c r="B34">
        <v>220348.32560000001</v>
      </c>
      <c r="C34">
        <v>127641.1539</v>
      </c>
      <c r="D34">
        <v>674.28700000000003</v>
      </c>
    </row>
    <row r="35" spans="1:4" x14ac:dyDescent="0.3">
      <c r="A35" t="s">
        <v>141</v>
      </c>
      <c r="B35">
        <v>220351.79399999999</v>
      </c>
      <c r="C35">
        <v>127652.52650000001</v>
      </c>
      <c r="D35">
        <v>673.55499999999995</v>
      </c>
    </row>
    <row r="36" spans="1:4" x14ac:dyDescent="0.3">
      <c r="A36" t="s">
        <v>178</v>
      </c>
      <c r="B36">
        <v>220366.5068</v>
      </c>
      <c r="C36">
        <v>127637.2401</v>
      </c>
      <c r="D36">
        <v>676.476</v>
      </c>
    </row>
    <row r="37" spans="1:4" x14ac:dyDescent="0.3">
      <c r="A37" t="s">
        <v>139</v>
      </c>
      <c r="B37">
        <v>220379.6575</v>
      </c>
      <c r="C37">
        <v>127648.531</v>
      </c>
      <c r="D37">
        <v>675.48</v>
      </c>
    </row>
    <row r="38" spans="1:4" x14ac:dyDescent="0.3">
      <c r="A38" t="s">
        <v>180</v>
      </c>
      <c r="B38">
        <v>220405.67730000001</v>
      </c>
      <c r="C38">
        <v>127634.6534</v>
      </c>
      <c r="D38">
        <v>677.23299999999995</v>
      </c>
    </row>
    <row r="39" spans="1:4" x14ac:dyDescent="0.3">
      <c r="A39" t="s">
        <v>182</v>
      </c>
      <c r="B39">
        <v>220405.72159999999</v>
      </c>
      <c r="C39">
        <v>127659.8998</v>
      </c>
      <c r="D39">
        <v>675.61699999999996</v>
      </c>
    </row>
    <row r="40" spans="1:4" x14ac:dyDescent="0.3">
      <c r="A40" t="s">
        <v>140</v>
      </c>
      <c r="B40">
        <v>220406.7426</v>
      </c>
      <c r="C40">
        <v>127648.8977</v>
      </c>
      <c r="D40">
        <v>676.19100000000003</v>
      </c>
    </row>
    <row r="41" spans="1:4" x14ac:dyDescent="0.3">
      <c r="A41" t="s">
        <v>144</v>
      </c>
      <c r="B41">
        <v>220416.163</v>
      </c>
      <c r="C41">
        <v>127649.22349999999</v>
      </c>
      <c r="D41">
        <v>676.23900000000003</v>
      </c>
    </row>
    <row r="42" spans="1:4" x14ac:dyDescent="0.3">
      <c r="A42" t="s">
        <v>145</v>
      </c>
      <c r="B42">
        <v>220463.7537</v>
      </c>
      <c r="C42">
        <v>127647.4118</v>
      </c>
      <c r="D42">
        <v>674.11199999999997</v>
      </c>
    </row>
    <row r="43" spans="1:4" x14ac:dyDescent="0.3">
      <c r="A43" t="s">
        <v>184</v>
      </c>
      <c r="B43">
        <v>220472.91769999999</v>
      </c>
      <c r="C43">
        <v>127625.9425</v>
      </c>
      <c r="D43">
        <v>676.26599999999996</v>
      </c>
    </row>
    <row r="44" spans="1:4" x14ac:dyDescent="0.3">
      <c r="A44" t="s">
        <v>146</v>
      </c>
      <c r="B44">
        <v>220481.55379999999</v>
      </c>
      <c r="C44">
        <v>127646.685</v>
      </c>
      <c r="D44">
        <v>673.14</v>
      </c>
    </row>
    <row r="45" spans="1:4" x14ac:dyDescent="0.3">
      <c r="A45" t="s">
        <v>147</v>
      </c>
      <c r="B45">
        <v>220494.76920000001</v>
      </c>
      <c r="C45">
        <v>127647.5708</v>
      </c>
      <c r="D45">
        <v>672.38800000000003</v>
      </c>
    </row>
    <row r="46" spans="1:4" x14ac:dyDescent="0.3">
      <c r="A46" t="s">
        <v>186</v>
      </c>
      <c r="B46">
        <v>220502.40090000001</v>
      </c>
      <c r="C46">
        <v>127670.72629999999</v>
      </c>
      <c r="D46">
        <v>671.08600000000001</v>
      </c>
    </row>
    <row r="47" spans="1:4" x14ac:dyDescent="0.3">
      <c r="A47" t="s">
        <v>148</v>
      </c>
      <c r="B47">
        <v>220517.8309</v>
      </c>
      <c r="C47">
        <v>127653.5591</v>
      </c>
      <c r="D47">
        <v>671.31500000000005</v>
      </c>
    </row>
    <row r="48" spans="1:4" x14ac:dyDescent="0.3">
      <c r="A48" t="s">
        <v>188</v>
      </c>
      <c r="B48">
        <v>220527.7372</v>
      </c>
      <c r="C48">
        <v>127644.5211</v>
      </c>
      <c r="D48">
        <v>672.15599999999995</v>
      </c>
    </row>
    <row r="49" spans="1:4" x14ac:dyDescent="0.3">
      <c r="A49" t="s">
        <v>149</v>
      </c>
      <c r="B49">
        <v>220534.56709999999</v>
      </c>
      <c r="C49">
        <v>127657.905</v>
      </c>
      <c r="D49">
        <v>670.75800000000004</v>
      </c>
    </row>
    <row r="50" spans="1:4" x14ac:dyDescent="0.3">
      <c r="A50" t="s">
        <v>150</v>
      </c>
      <c r="B50">
        <v>220571.34</v>
      </c>
      <c r="C50">
        <v>127664.3941</v>
      </c>
      <c r="D50">
        <v>669.65200000000004</v>
      </c>
    </row>
    <row r="51" spans="1:4" x14ac:dyDescent="0.3">
      <c r="A51" t="s">
        <v>151</v>
      </c>
      <c r="B51">
        <v>220596.16949999999</v>
      </c>
      <c r="C51">
        <v>127666.12</v>
      </c>
      <c r="D51">
        <v>669.11800000000005</v>
      </c>
    </row>
    <row r="52" spans="1:4" x14ac:dyDescent="0.3">
      <c r="A52" t="s">
        <v>153</v>
      </c>
      <c r="B52">
        <v>220614.05619999999</v>
      </c>
      <c r="C52">
        <v>127666.04580000001</v>
      </c>
      <c r="D52">
        <v>668.94600000000003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5" sqref="B5"/>
    </sheetView>
  </sheetViews>
  <sheetFormatPr defaultColWidth="8.796875" defaultRowHeight="15.6" x14ac:dyDescent="0.3"/>
  <cols>
    <col min="1" max="1" width="13.5" style="1" bestFit="1" customWidth="1"/>
    <col min="2" max="2" width="13" style="1" customWidth="1"/>
    <col min="3" max="16384" width="8.796875" style="1"/>
  </cols>
  <sheetData>
    <row r="1" spans="1:2" x14ac:dyDescent="0.3">
      <c r="A1" s="1" t="s">
        <v>0</v>
      </c>
    </row>
    <row r="2" spans="1:2" x14ac:dyDescent="0.3">
      <c r="A2" s="1" t="s">
        <v>1</v>
      </c>
    </row>
    <row r="3" spans="1:2" x14ac:dyDescent="0.3">
      <c r="A3" s="1" t="s">
        <v>8</v>
      </c>
      <c r="B3" s="1" t="s">
        <v>44</v>
      </c>
    </row>
    <row r="4" spans="1:2" x14ac:dyDescent="0.3">
      <c r="A4" s="1" t="s">
        <v>9</v>
      </c>
    </row>
    <row r="5" spans="1:2" x14ac:dyDescent="0.3">
      <c r="A5" s="1" t="s">
        <v>2</v>
      </c>
      <c r="B5" s="1" t="s">
        <v>45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6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7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6B6948-D5B8-4959-8259-16918E9B25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Parametros</vt:lpstr>
      <vt:lpstr>Calculos</vt:lpstr>
      <vt:lpstr>Pluvial</vt:lpstr>
      <vt:lpstr>CV_dados</vt:lpstr>
      <vt:lpstr>Pipe_dados</vt:lpstr>
      <vt:lpstr>Planilha1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Ary Vinicius Frigeri</cp:lastModifiedBy>
  <cp:lastPrinted>2020-06-08T08:02:39Z</cp:lastPrinted>
  <dcterms:created xsi:type="dcterms:W3CDTF">2015-01-25T11:31:25Z</dcterms:created>
  <dcterms:modified xsi:type="dcterms:W3CDTF">2020-08-03T19:08:42Z</dcterms:modified>
</cp:coreProperties>
</file>